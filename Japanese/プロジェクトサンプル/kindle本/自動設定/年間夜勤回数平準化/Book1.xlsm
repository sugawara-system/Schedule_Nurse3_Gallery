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ustom.xml" ContentType="application/vnd.openxmlformats-officedocument.custom-properties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4" Type="http://schemas.openxmlformats.org/officeDocument/2006/relationships/custom-properties" Target="docProps/custom.xml" /><Relationship Id="rId2" Type="http://schemas.openxmlformats.org/officeDocument/2006/relationships/extended-properties" Target="docProps/app.xml" /><Relationship Id="rId1" Type="http://schemas.openxmlformats.org/officeDocument/2006/relationships/officeDocument" Target="xl/workbook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7" lowestEdited="7" rupBuild="26026" codeName="{AE6600E7-7A62-396C-DE95-9942FA9DD81E}"/>
  <workbookPr codeName="ThisWorkbook" defaultThemeVersion="166925"/>
  <bookViews>
    <workbookView xWindow="2130" yWindow="2160" windowWidth="24675" windowHeight="13440"/>
  </bookViews>
  <sheets>
    <sheet name="Sheet1" sheetId="1" r:id="rId1"/>
  </sheets>
  <definedNames/>
  <calcPr fullPrecision="1"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<sst xmlns="http://schemas.openxmlformats.org/spreadsheetml/2006/main" uniqueCount="49" count="92">
  <si>
    <t>スタッフ名</t>
  </si>
  <si>
    <t>全スタッフ属性</t>
  </si>
  <si>
    <t>曜日タイプ</t>
  </si>
  <si>
    <t>スタッフ名1</t>
  </si>
  <si>
    <t>スタッフ名2</t>
  </si>
  <si>
    <t>スタッフ名3</t>
  </si>
  <si>
    <t>スタッフ名4</t>
  </si>
  <si>
    <t>スタッフ名5</t>
  </si>
  <si>
    <t>スタッフ名6</t>
  </si>
  <si>
    <t>スタッフ名7</t>
  </si>
  <si>
    <t>スタッフ名8</t>
  </si>
  <si>
    <t>スタッフ名9</t>
  </si>
  <si>
    <t>スタッフ名10</t>
  </si>
  <si>
    <t>スタッフ名11</t>
  </si>
  <si>
    <t>スタッフ名12</t>
  </si>
  <si>
    <t>スタッフ名13</t>
  </si>
  <si>
    <t>スタッフ名14</t>
  </si>
  <si>
    <t>スタッフ名15</t>
  </si>
  <si>
    <t>スタッフ名16</t>
  </si>
  <si>
    <t>スタッフ名17</t>
  </si>
  <si>
    <t>スタッフ名18</t>
  </si>
  <si>
    <t>スタッフ名19</t>
  </si>
  <si>
    <t>スタッフ名20</t>
  </si>
  <si>
    <t>スタッフ名21</t>
  </si>
  <si>
    <t>スタッフ名22</t>
  </si>
  <si>
    <t>スタッフ名23</t>
  </si>
  <si>
    <t>全スタッフ</t>
  </si>
  <si>
    <t>制約開始日</t>
  </si>
  <si>
    <t>スタッフ数</t>
  </si>
  <si>
    <t>先月までの和</t>
  </si>
  <si>
    <t>今月までの和</t>
  </si>
  <si>
    <t>深夜回数</t>
  </si>
  <si>
    <t>今月深夜</t>
  </si>
  <si>
    <t>夜勤可能者</t>
  </si>
  <si>
    <t>夜勤可能者平均</t>
  </si>
  <si>
    <t>最大基準</t>
  </si>
  <si>
    <t>最小基準</t>
  </si>
  <si>
    <t>最大深夜数</t>
  </si>
  <si>
    <t>最小深夜数</t>
  </si>
  <si>
    <t>絶対最大</t>
  </si>
  <si>
    <t>絶対最小</t>
  </si>
  <si>
    <t>最終最大</t>
  </si>
  <si>
    <t>最終最小</t>
  </si>
  <si>
    <t>A＝平均値からのオフセット</t>
  </si>
  <si>
    <t>round(A)</t>
  </si>
  <si>
    <t>最大深夜回数属性</t>
  </si>
  <si>
    <t>最小深夜回数属性</t>
  </si>
  <si>
    <t>曜日名</t>
  </si>
  <si>
    <t>曜日数</t>
  </si>
</sst>
</file>

<file path=xl/styles.xml><?xml version="1.0" encoding="utf-8"?>
<styleSheet xmlns:mc="http://schemas.openxmlformats.org/markup-compatibility/2006" xmlns:x14ac="http://schemas.microsoft.com/office/spreadsheetml/2009/9/ac" xmlns="http://schemas.openxmlformats.org/spreadsheetml/2006/main" mc:Ignorable="x14ac">
  <numFmts count="1">
    <numFmt numFmtId="164" formatCode="yyyy/mm/dd"/>
  </numFmts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</fonts>
  <fills count="2">
    <fill>
      <patternFill patternType="none">
        <fgColor indexed="64"/>
        <bgColor indexed="65"/>
      </patternFill>
    </fill>
    <fill>
      <patternFill patternType="gray125">
        <fgColor indexed="64"/>
        <bgColor indexed="65"/>
      </patternFill>
    </fill>
  </fills>
  <borders count="15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7">
    <xf numFmtId="0" fontId="0" fillId="0" borderId="0">
      <alignment vertical="center"/>
    </xf>
  </cellStyleXfs>
  <cellXfs>
    <xf numFmtId="0" fontId="0" fillId="0" borderId="0" xfId="0" applyAlignment="1">
      <alignment vertical="center"/>
    </xf>
    <xf numFmtId="0" fontId="2" fillId="0" borderId="1" xfId="0" applyAlignment="1" applyBorder="1" applyFont="1">
      <alignment vertical="center"/>
    </xf>
    <xf numFmtId="0" fontId="2" fillId="0" borderId="2" xfId="0" applyAlignment="1" applyBorder="1" applyFont="1">
      <alignment vertical="center"/>
    </xf>
    <xf numFmtId="164" fontId="2" fillId="0" borderId="1" xfId="0" applyAlignment="1" applyBorder="1" applyFont="1" applyNumberFormat="1">
      <alignment vertical="center"/>
    </xf>
    <xf numFmtId="164" fontId="0" fillId="0" borderId="0" xfId="0" applyAlignment="1" applyNumberFormat="1">
      <alignment vertical="center"/>
    </xf>
    <xf numFmtId="0" fontId="2" fillId="0" borderId="0" xfId="0" applyAlignment="1" applyFont="1">
      <alignment vertical="center"/>
    </xf>
    <xf numFmtId="0" fontId="0" fillId="0" borderId="3" xfId="0" applyAlignment="1" applyBorder="1">
      <alignment vertical="center"/>
    </xf>
    <xf numFmtId="0" fontId="0" fillId="0" borderId="4" xfId="0" applyAlignment="1" applyBorder="1">
      <alignment vertical="center"/>
    </xf>
    <xf numFmtId="0" fontId="0" fillId="0" borderId="5" xfId="0" applyAlignment="1" applyBorder="1">
      <alignment vertical="center"/>
    </xf>
    <xf numFmtId="0" fontId="0" fillId="0" borderId="6" xfId="0" applyAlignment="1" applyBorder="1">
      <alignment vertical="center"/>
    </xf>
    <xf numFmtId="0" fontId="0" fillId="0" borderId="7" xfId="0" applyAlignment="1" applyBorder="1">
      <alignment vertical="center"/>
    </xf>
    <xf numFmtId="0" fontId="0" fillId="0" borderId="8" xfId="0" applyAlignment="1" applyBorder="1">
      <alignment vertical="center"/>
    </xf>
    <xf numFmtId="0" fontId="0" fillId="0" borderId="9" xfId="0" applyAlignment="1" applyBorder="1">
      <alignment horizontal="center" vertical="center"/>
    </xf>
    <xf numFmtId="0" fontId="0" fillId="0" borderId="10" xfId="0" applyAlignment="1" applyBorder="1">
      <alignment horizontal="center" vertical="center"/>
    </xf>
    <xf numFmtId="0" fontId="0" fillId="0" borderId="3" xfId="0" applyAlignment="1" applyBorder="1">
      <alignment horizontal="center" vertical="center"/>
    </xf>
    <xf numFmtId="0" fontId="0" fillId="0" borderId="4" xfId="0" applyAlignment="1" applyBorder="1">
      <alignment horizontal="center" vertical="center"/>
    </xf>
    <xf numFmtId="164" fontId="0" fillId="0" borderId="9" xfId="0" applyAlignment="1" applyBorder="1" applyNumberFormat="1">
      <alignment vertical="center"/>
    </xf>
    <xf numFmtId="14" fontId="0" fillId="0" borderId="10" xfId="0" applyAlignment="1" applyBorder="1" applyNumberFormat="1">
      <alignment vertical="center"/>
    </xf>
    <xf numFmtId="0" fontId="0" fillId="0" borderId="7" xfId="0" applyAlignment="1" applyBorder="1">
      <alignment horizontal="center" vertical="center"/>
    </xf>
    <xf numFmtId="0" fontId="0" fillId="0" borderId="8" xfId="0" applyAlignment="1" applyBorder="1">
      <alignment horizontal="center" vertical="center"/>
    </xf>
    <xf numFmtId="0" fontId="0" fillId="0" borderId="5" xfId="0" applyAlignment="1" applyBorder="1">
      <alignment horizontal="center" vertical="center"/>
    </xf>
    <xf numFmtId="0" fontId="0" fillId="0" borderId="6" xfId="0" applyAlignment="1" applyBorder="1">
      <alignment horizontal="center" vertical="center"/>
    </xf>
    <xf numFmtId="0" fontId="0" fillId="0" borderId="11" xfId="0" applyAlignment="1" applyBorder="1">
      <alignment horizontal="center" vertical="center"/>
    </xf>
    <xf numFmtId="0" fontId="0" fillId="0" borderId="12" xfId="0" applyAlignment="1" applyBorder="1">
      <alignment horizontal="center" vertical="center"/>
    </xf>
    <xf numFmtId="0" fontId="0" fillId="0" borderId="13" xfId="0" applyAlignment="1" applyBorder="1">
      <alignment horizontal="center" vertical="center"/>
    </xf>
    <xf numFmtId="0" fontId="0" fillId="0" borderId="14" xfId="0" applyAlignment="1" applyBorder="1">
      <alignment horizontal="center" vertical="center"/>
    </xf>
  </cellXfs>
  <cellStyles count="1">
    <cellStyle name="Normal" xfId="0" builtinId="0"/>
  </cellStyles>
  <dxfs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 /><Relationship Id="rId2" Type="http://schemas.openxmlformats.org/officeDocument/2006/relationships/theme" Target="theme/theme1.xml" /><Relationship Id="rId1" Type="http://schemas.openxmlformats.org/officeDocument/2006/relationships/worksheet" Target="worksheets/sheet1.xml" /><Relationship Id="rId5" Type="http://schemas.microsoft.com/office/2006/relationships/vbaProject" Target="vbaProject.bin" /><Relationship Id="rId4" Type="http://schemas.openxmlformats.org/officeDocument/2006/relationships/sharedStrings" Target="sharedStrings.xml" /></Relationships>
</file>

<file path=xl/tables/table1.xml><?xml version="1.0" encoding="utf-8"?>
<table xmlns="http://schemas.openxmlformats.org/spreadsheetml/2006/main" id="1" name="テーブル1" displayName="テーブル1" ref="C10:H33" totalsRowShown="0">
  <autoFilter ref="C10:H33"/>
  <tableColumns>
    <tableColumn id="1" name="スタッフ名"/>
    <tableColumn id="2" name="全スタッフ属性"/>
    <tableColumn id="4" name="夜勤可能者"/>
    <tableColumn id="6" name="最大深夜回数属性">
      <calculatedColumnFormula>N11</calculatedColumnFormula>
    </tableColumn>
    <tableColumn id="5" name="最小深夜回数属性">
      <calculatedColumnFormula>O11</calculatedColumnFormula>
    </tableColumn>
    <tableColumn id="3" name="深夜回数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テーブル2" displayName="テーブル2" ref="M2:N4" totalsRowShown="0">
  <autoFilter ref="M2:N4"/>
  <tableColumns>
    <tableColumn id="1" name="曜日タイプ"/>
    <tableColumn id="2" name="制約開始日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table" Target="../tables/table2.xml" /><Relationship Id="rId1" Type="http://schemas.openxmlformats.org/officeDocument/2006/relationships/table" Target="../tables/table1.xml" /><Relationship Id="rId3" Type="http://schemas.openxmlformats.org/officeDocument/2006/relationships/table" Target="/xl/tables/table1.xml" /><Relationship Id="rId4" Type="http://schemas.openxmlformats.org/officeDocument/2006/relationships/table" Target="/xl/tables/table2.xml" /><Relationship Id="rId5" Type="http://schemas.openxmlformats.org/officeDocument/2006/relationships/table" Target="/xl/tables/table1.xml" /><Relationship Id="rId6" Type="http://schemas.openxmlformats.org/officeDocument/2006/relationships/table" Target="/xl/tables/table2.xml" /><Relationship Id="rId7" Type="http://schemas.openxmlformats.org/officeDocument/2006/relationships/table" Target="/xl/tables/table1.xml" /><Relationship Id="rId8" Type="http://schemas.openxmlformats.org/officeDocument/2006/relationships/table" Target="/xl/tables/table2.xml" /><Relationship Id="rId9" Type="http://schemas.openxmlformats.org/officeDocument/2006/relationships/table" Target="/xl/tables/table1.xml" /><Relationship Id="rId10" Type="http://schemas.openxmlformats.org/officeDocument/2006/relationships/table" Target="/xl/tables/table2.xml" /><Relationship Id="rId11" Type="http://schemas.openxmlformats.org/officeDocument/2006/relationships/table" Target="/xl/tables/table1.xml" /><Relationship Id="rId12" Type="http://schemas.openxmlformats.org/officeDocument/2006/relationships/table" Target="/xl/tables/table2.xml" /><Relationship Id="rId13" Type="http://schemas.openxmlformats.org/officeDocument/2006/relationships/table" Target="/xl/tables/table1.xml" /><Relationship Id="rId14" Type="http://schemas.openxmlformats.org/officeDocument/2006/relationships/table" Target="/xl/tables/table2.xml" /><Relationship Id="rId15" Type="http://schemas.openxmlformats.org/officeDocument/2006/relationships/table" Target="/xl/tables/table1.xml" /><Relationship Id="rId16" Type="http://schemas.openxmlformats.org/officeDocument/2006/relationships/table" Target="/xl/tables/table2.xml" /><Relationship Id="rId17" Type="http://schemas.openxmlformats.org/officeDocument/2006/relationships/table" Target="/xl/tables/table1.xml" /><Relationship Id="rId18" Type="http://schemas.openxmlformats.org/officeDocument/2006/relationships/table" Target="/xl/tables/table2.xml" /><Relationship Id="rId19" Type="http://schemas.openxmlformats.org/officeDocument/2006/relationships/table" Target="/xl/tables/table1.xml" /><Relationship Id="rId20" Type="http://schemas.openxmlformats.org/officeDocument/2006/relationships/table" Target="/xl/tables/table2.xml" /><Relationship Id="rId21" Type="http://schemas.openxmlformats.org/officeDocument/2006/relationships/table" Target="/xl/tables/table1.xml" /><Relationship Id="rId22" Type="http://schemas.openxmlformats.org/officeDocument/2006/relationships/table" Target="/xl/tables/table2.xml" /><Relationship Id="rId23" Type="http://schemas.openxmlformats.org/officeDocument/2006/relationships/table" Target="/xl/tables/table1.xml" /><Relationship Id="rId24" Type="http://schemas.openxmlformats.org/officeDocument/2006/relationships/table" Target="/xl/tables/table2.xml" /><Relationship Id="rId25" Type="http://schemas.openxmlformats.org/officeDocument/2006/relationships/table" Target="/xl/tables/table1.xml" /><Relationship Id="rId26" Type="http://schemas.openxmlformats.org/officeDocument/2006/relationships/table" Target="/xl/tables/table2.xml" /><Relationship Id="rId27" Type="http://schemas.openxmlformats.org/officeDocument/2006/relationships/table" Target="/xl/tables/table1.xml" /><Relationship Id="rId28" Type="http://schemas.openxmlformats.org/officeDocument/2006/relationships/table" Target="/xl/tables/table2.xml" /><Relationship Id="rId29" Type="http://schemas.openxmlformats.org/officeDocument/2006/relationships/table" Target="/xl/tables/table1.xml" /><Relationship Id="rId30" Type="http://schemas.openxmlformats.org/officeDocument/2006/relationships/table" Target="/xl/tables/table2.xml" /><Relationship Id="rId31" Type="http://schemas.openxmlformats.org/officeDocument/2006/relationships/table" Target="/xl/tables/table1.xml" /><Relationship Id="rId32" Type="http://schemas.openxmlformats.org/officeDocument/2006/relationships/table" Target="/xl/tables/table2.xml" /><Relationship Id="rId33" Type="http://schemas.openxmlformats.org/officeDocument/2006/relationships/table" Target="/xl/tables/table1.xml" /><Relationship Id="rId34" Type="http://schemas.openxmlformats.org/officeDocument/2006/relationships/table" Target="/xl/tables/table2.xml" /><Relationship Id="rId35" Type="http://schemas.openxmlformats.org/officeDocument/2006/relationships/table" Target="/xl/tables/table1.xml" /><Relationship Id="rId36" Type="http://schemas.openxmlformats.org/officeDocument/2006/relationships/table" Target="/xl/tables/table2.xml" /><Relationship Id="rId37" Type="http://schemas.openxmlformats.org/officeDocument/2006/relationships/table" Target="/xl/tables/table1.xml" /><Relationship Id="rId38" Type="http://schemas.openxmlformats.org/officeDocument/2006/relationships/table" Target="/xl/tables/table2.xml" /><Relationship Id="rId39" Type="http://schemas.openxmlformats.org/officeDocument/2006/relationships/table" Target="/xl/tables/table1.xml" /><Relationship Id="rId40" Type="http://schemas.openxmlformats.org/officeDocument/2006/relationships/table" Target="/xl/tables/table2.xml" /><Relationship Id="rId41" Type="http://schemas.openxmlformats.org/officeDocument/2006/relationships/table" Target="/xl/tables/table1.xml" /><Relationship Id="rId42" Type="http://schemas.openxmlformats.org/officeDocument/2006/relationships/table" Target="/xl/tables/table2.xml" /><Relationship Id="rId43" Type="http://schemas.openxmlformats.org/officeDocument/2006/relationships/table" Target="/xl/tables/table1.xml" /><Relationship Id="rId44" Type="http://schemas.openxmlformats.org/officeDocument/2006/relationships/table" Target="/xl/tables/table2.xml" /><Relationship Id="rId45" Type="http://schemas.openxmlformats.org/officeDocument/2006/relationships/table" Target="/xl/tables/table1.xml" /><Relationship Id="rId46" Type="http://schemas.openxmlformats.org/officeDocument/2006/relationships/table" Target="/xl/tables/table2.xml" /><Relationship Id="rId47" Type="http://schemas.openxmlformats.org/officeDocument/2006/relationships/table" Target="/xl/tables/table1.xml" /><Relationship Id="rId48" Type="http://schemas.openxmlformats.org/officeDocument/2006/relationships/table" Target="/xl/tables/table2.xml" /><Relationship Id="rId49" Type="http://schemas.openxmlformats.org/officeDocument/2006/relationships/table" Target="/xl/tables/table1.xml" /><Relationship Id="rId50" Type="http://schemas.openxmlformats.org/officeDocument/2006/relationships/table" Target="/xl/tables/table2.xml" /><Relationship Id="rId51" Type="http://schemas.openxmlformats.org/officeDocument/2006/relationships/table" Target="/xl/tables/table1.xml" /><Relationship Id="rId52" Type="http://schemas.openxmlformats.org/officeDocument/2006/relationships/table" Target="/xl/tables/table2.xml" /><Relationship Id="rId53" Type="http://schemas.openxmlformats.org/officeDocument/2006/relationships/table" Target="/xl/tables/table1.xml" /><Relationship Id="rId54" Type="http://schemas.openxmlformats.org/officeDocument/2006/relationships/table" Target="/xl/tables/table2.xml" /><Relationship Id="rId55" Type="http://schemas.openxmlformats.org/officeDocument/2006/relationships/table" Target="/xl/tables/table1.xml" /><Relationship Id="rId56" Type="http://schemas.openxmlformats.org/officeDocument/2006/relationships/table" Target="/xl/tables/table2.xml" /><Relationship Id="rId57" Type="http://schemas.openxmlformats.org/officeDocument/2006/relationships/table" Target="/xl/tables/table1.xml" /><Relationship Id="rId58" Type="http://schemas.openxmlformats.org/officeDocument/2006/relationships/table" Target="/xl/tables/table2.xml" /><Relationship Id="rId59" Type="http://schemas.openxmlformats.org/officeDocument/2006/relationships/table" Target="/xl/tables/table1.xml" /><Relationship Id="rId60" Type="http://schemas.openxmlformats.org/officeDocument/2006/relationships/table" Target="/xl/tables/table2.xml" /><Relationship Id="rId61" Type="http://schemas.openxmlformats.org/officeDocument/2006/relationships/table" Target="/xl/tables/table1.xml" /><Relationship Id="rId62" Type="http://schemas.openxmlformats.org/officeDocument/2006/relationships/table" Target="/xl/tables/table2.xml" /></Relationships>
</file>

<file path=xl/worksheets/sheet1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Sheet1"/>
  <dimension ref="C2:R34"/>
  <sheetViews>
    <sheetView topLeftCell="E8" view="normal" tabSelected="1" workbookViewId="0">
      <selection pane="topLeft" activeCell="O17" sqref="O17"/>
    </sheetView>
  </sheetViews>
  <sheetFormatPr defaultRowHeight="18.75"/>
  <cols>
    <col min="2" max="2" width="4.25390625" customWidth="1"/>
    <col min="3" max="3" width="13.00390625" customWidth="1"/>
    <col min="4" max="5" width="15.875" customWidth="1"/>
    <col min="6" max="6" width="17.75390625" customWidth="1"/>
    <col min="7" max="7" width="18.50390625" customWidth="1"/>
    <col min="8" max="8" width="12.25390625" customWidth="1"/>
    <col min="9" max="9" width="6.125" customWidth="1"/>
    <col min="10" max="10" width="25.25390625" customWidth="1"/>
    <col min="11" max="11" width="11.25390625" customWidth="1"/>
    <col min="12" max="12" width="11.625" customWidth="1"/>
    <col min="13" max="13" width="11.125" customWidth="1"/>
    <col min="14" max="14" width="11.50390625" customWidth="1"/>
    <col min="15" max="15" width="11.75390625" customWidth="1"/>
    <col min="16" max="16" width="13.50390625" customWidth="1"/>
    <col min="17" max="17" width="13.875" customWidth="1"/>
    <col min="18" max="18" width="13.25390625" customWidth="1"/>
    <col min="19" max="19" width="11.00390625" customWidth="1"/>
    <col min="20" max="20" width="15.875" customWidth="1"/>
  </cols>
  <sheetData>
    <row r="2" spans="13:14">
      <c r="M2" s="1" t="s">
        <v>2</v>
      </c>
      <c r="N2" s="3" t="s">
        <v>27</v>
      </c>
    </row>
    <row r="3" spans="13:14">
      <c r="M3" t="s">
        <v>47</v>
      </c>
      <c r="N3" s="4">
        <v>44166</v>
      </c>
    </row>
    <row r="4" spans="13:14" ht="19.5" thickBot="1">
      <c r="M4" t="s">
        <v>48</v>
      </c>
      <c r="N4">
        <f ca="1">1</f>
        <v>1</v>
      </c>
    </row>
    <row r="5" spans="10:11">
      <c r="J5" s="6" t="s">
        <v>35</v>
      </c>
      <c r="K5" s="7">
        <v>5</v>
      </c>
    </row>
    <row r="6" spans="10:14" ht="19.5" thickBot="1">
      <c r="J6" s="8" t="s">
        <v>36</v>
      </c>
      <c r="K6" s="9">
        <v>4</v>
      </c>
      <c r="M6" t="s">
        <v>28</v>
      </c>
      <c r="N6">
        <f ca="1">COUNTIF(D11:D35,"全スタッフ")</f>
        <v>23</v>
      </c>
    </row>
    <row r="7" spans="10:11">
      <c r="J7" s="10" t="s">
        <v>39</v>
      </c>
      <c r="K7" s="11">
        <v>5</v>
      </c>
    </row>
    <row r="8" spans="10:11" ht="19.5" thickBot="1">
      <c r="J8" s="8" t="s">
        <v>40</v>
      </c>
      <c r="K8" s="9">
        <v>0</v>
      </c>
    </row>
    <row r="9" spans="16:17" ht="19.5" thickBot="1">
      <c r="P9" s="16">
        <f ca="1">N3</f>
        <v>44166</v>
      </c>
      <c r="Q9" s="17">
        <v>44166</v>
      </c>
    </row>
    <row r="10" spans="3:18" ht="19.5" thickBot="1">
      <c r="C10" s="1" t="s">
        <v>0</v>
      </c>
      <c r="D10" s="1" t="s">
        <v>1</v>
      </c>
      <c r="E10" s="5" t="s">
        <v>33</v>
      </c>
      <c r="F10" s="5" t="s">
        <v>45</v>
      </c>
      <c r="G10" s="5" t="s">
        <v>46</v>
      </c>
      <c r="H10" s="2" t="s">
        <v>31</v>
      </c>
      <c r="J10" s="12" t="s">
        <v>43</v>
      </c>
      <c r="K10" s="24" t="s">
        <v>44</v>
      </c>
      <c r="L10" s="12" t="s">
        <v>37</v>
      </c>
      <c r="M10" s="13" t="s">
        <v>38</v>
      </c>
      <c r="N10" s="12" t="s">
        <v>41</v>
      </c>
      <c r="O10" s="13" t="s">
        <v>42</v>
      </c>
      <c r="P10" s="12" t="s">
        <v>30</v>
      </c>
      <c r="Q10" s="15" t="s">
        <v>29</v>
      </c>
      <c r="R10" s="24" t="s">
        <v>32</v>
      </c>
    </row>
    <row r="11" spans="3:18">
      <c r="C11" t="s">
        <v>3</v>
      </c>
      <c r="D11" t="s">
        <v>26</v>
      </c>
      <c r="F11">
        <f ca="1">N11</f>
        <v>0</v>
      </c>
      <c r="G11">
        <f ca="1">O11</f>
        <v>0</v>
      </c>
      <c r="J11" s="25">
        <f ca="1">IF(E11="夜勤可能者",Q11-$Q$34,0)</f>
        <v>0</v>
      </c>
      <c r="K11" s="22">
        <f ca="1">IF(J11&lt;0,CEILING(J11,1),FLOOR(J11,1))</f>
        <v>0</v>
      </c>
      <c r="L11" s="18">
        <f ca="1">IF(E11="夜勤可能者",$K$5-K11,0)</f>
        <v>0</v>
      </c>
      <c r="M11" s="19">
        <f ca="1">IF(E11="夜勤可能者",$K$6-K11,0)</f>
        <v>0</v>
      </c>
      <c r="N11" s="25">
        <f ca="1">IF($E11="夜勤可能者",IF(L11&gt;$K$7,$K$7,IF(L11&lt;$K$8,$K$8,L11)),0)</f>
        <v>0</v>
      </c>
      <c r="O11" s="25">
        <f ca="1">IF($E11="夜勤可能者",IF(M11&gt;$K$7,$K$7,IF(M11&lt;$K$8,$K$8,M11)),0)</f>
        <v>0</v>
      </c>
      <c r="P11" s="14">
        <f ca="1">SUM(Q11:R11)</f>
        <v>0</v>
      </c>
      <c r="Q11" s="25">
        <v>0</v>
      </c>
      <c r="R11" s="15">
        <f ca="1">テーブル1[[#This Row],[深夜回数]]</f>
        <v>0</v>
      </c>
    </row>
    <row r="12" spans="3:18">
      <c r="C12" t="s">
        <v>4</v>
      </c>
      <c r="D12" t="s">
        <v>26</v>
      </c>
      <c r="E12" t="s">
        <v>33</v>
      </c>
      <c r="F12">
        <f ca="1">N12</f>
        <v>5</v>
      </c>
      <c r="G12">
        <f ca="1">O12</f>
        <v>4</v>
      </c>
      <c r="H12">
        <v>4</v>
      </c>
      <c r="J12" s="22">
        <f ca="1">IF(E12="夜勤可能者",Q12-$Q$34,0)</f>
        <v>0</v>
      </c>
      <c r="K12" s="22">
        <f ca="1">IF(J12&lt;0,CEILING(J12,1),FLOOR(J12,1))</f>
        <v>0</v>
      </c>
      <c r="L12" s="18">
        <f ca="1">IF(E12="夜勤可能者",$K$5-K12,0)</f>
        <v>5</v>
      </c>
      <c r="M12" s="19">
        <f ca="1">IF(E12="夜勤可能者",$K$6-K12,0)</f>
        <v>4</v>
      </c>
      <c r="N12" s="22">
        <f ca="1">IF($E12="夜勤可能者",IF(L12&gt;$K$7,$K$7,IF(L12&lt;$K$8,$K$8,L12)),0)</f>
        <v>5</v>
      </c>
      <c r="O12" s="22">
        <f ca="1">IF($E12="夜勤可能者",IF(M12&gt;$K$7,$K$7,IF(M12&lt;$K$8,$K$8,M12)),0)</f>
        <v>4</v>
      </c>
      <c r="P12" s="18">
        <f ca="1">SUM(Q12:R12)</f>
        <v>4</v>
      </c>
      <c r="Q12" s="22">
        <v>0</v>
      </c>
      <c r="R12" s="19">
        <f ca="1">テーブル1[[#This Row],[深夜回数]]</f>
        <v>4</v>
      </c>
    </row>
    <row r="13" spans="3:18">
      <c r="C13" t="s">
        <v>5</v>
      </c>
      <c r="D13" t="s">
        <v>26</v>
      </c>
      <c r="E13" t="s">
        <v>33</v>
      </c>
      <c r="F13">
        <f ca="1">N13</f>
        <v>5</v>
      </c>
      <c r="G13">
        <f ca="1">O13</f>
        <v>4</v>
      </c>
      <c r="H13">
        <v>4</v>
      </c>
      <c r="J13" s="22">
        <f ca="1">IF(E13="夜勤可能者",Q13-$Q$34,0)</f>
        <v>0</v>
      </c>
      <c r="K13" s="22">
        <f ca="1">IF(J13&lt;0,CEILING(J13,1),FLOOR(J13,1))</f>
        <v>0</v>
      </c>
      <c r="L13" s="18">
        <f ca="1">IF(E13="夜勤可能者",$K$5-K13,0)</f>
        <v>5</v>
      </c>
      <c r="M13" s="19">
        <f ca="1">IF(E13="夜勤可能者",$K$6-K13,0)</f>
        <v>4</v>
      </c>
      <c r="N13" s="22">
        <f ca="1">IF($E13="夜勤可能者",IF(L13&gt;$K$7,$K$7,IF(L13&lt;$K$8,$K$8,L13)),0)</f>
        <v>5</v>
      </c>
      <c r="O13" s="22">
        <f ca="1">IF($E13="夜勤可能者",IF(M13&gt;$K$7,$K$7,IF(M13&lt;$K$8,$K$8,M13)),0)</f>
        <v>4</v>
      </c>
      <c r="P13" s="18">
        <f ca="1">SUM(Q13:R13)</f>
        <v>4</v>
      </c>
      <c r="Q13" s="22">
        <v>0</v>
      </c>
      <c r="R13" s="19">
        <f ca="1">テーブル1[[#This Row],[深夜回数]]</f>
        <v>4</v>
      </c>
    </row>
    <row r="14" spans="3:18">
      <c r="C14" t="s">
        <v>6</v>
      </c>
      <c r="D14" t="s">
        <v>26</v>
      </c>
      <c r="E14" t="s">
        <v>33</v>
      </c>
      <c r="F14">
        <f ca="1">N14</f>
        <v>5</v>
      </c>
      <c r="G14">
        <f ca="1">O14</f>
        <v>4</v>
      </c>
      <c r="H14">
        <v>4</v>
      </c>
      <c r="J14" s="22">
        <f ca="1">IF(E14="夜勤可能者",Q14-$Q$34,0)</f>
        <v>0</v>
      </c>
      <c r="K14" s="22">
        <f ca="1">IF(J14&lt;0,CEILING(J14,1),FLOOR(J14,1))</f>
        <v>0</v>
      </c>
      <c r="L14" s="18">
        <f ca="1">IF(E14="夜勤可能者",$K$5-K14,0)</f>
        <v>5</v>
      </c>
      <c r="M14" s="19">
        <f ca="1">IF(E14="夜勤可能者",$K$6-K14,0)</f>
        <v>4</v>
      </c>
      <c r="N14" s="22">
        <f ca="1">IF($E14="夜勤可能者",IF(L14&gt;$K$7,$K$7,IF(L14&lt;$K$8,$K$8,L14)),0)</f>
        <v>5</v>
      </c>
      <c r="O14" s="22">
        <f ca="1">IF($E14="夜勤可能者",IF(M14&gt;$K$7,$K$7,IF(M14&lt;$K$8,$K$8,M14)),0)</f>
        <v>4</v>
      </c>
      <c r="P14" s="18">
        <f ca="1">SUM(Q14:R14)</f>
        <v>4</v>
      </c>
      <c r="Q14" s="22">
        <v>0</v>
      </c>
      <c r="R14" s="19">
        <f ca="1">テーブル1[[#This Row],[深夜回数]]</f>
        <v>4</v>
      </c>
    </row>
    <row r="15" spans="3:18">
      <c r="C15" t="s">
        <v>7</v>
      </c>
      <c r="D15" t="s">
        <v>26</v>
      </c>
      <c r="E15" t="s">
        <v>33</v>
      </c>
      <c r="F15">
        <f ca="1">N15</f>
        <v>5</v>
      </c>
      <c r="G15">
        <f ca="1">O15</f>
        <v>4</v>
      </c>
      <c r="H15">
        <v>4</v>
      </c>
      <c r="J15" s="22">
        <f ca="1">IF(E15="夜勤可能者",Q15-$Q$34,0)</f>
        <v>0</v>
      </c>
      <c r="K15" s="22">
        <f ca="1">IF(J15&lt;0,CEILING(J15,1),FLOOR(J15,1))</f>
        <v>0</v>
      </c>
      <c r="L15" s="18">
        <f ca="1">IF(E15="夜勤可能者",$K$5-K15,0)</f>
        <v>5</v>
      </c>
      <c r="M15" s="19">
        <f ca="1">IF(E15="夜勤可能者",$K$6-K15,0)</f>
        <v>4</v>
      </c>
      <c r="N15" s="22">
        <f ca="1">IF($E15="夜勤可能者",IF(L15&gt;$K$7,$K$7,IF(L15&lt;$K$8,$K$8,L15)),0)</f>
        <v>5</v>
      </c>
      <c r="O15" s="22">
        <f ca="1">IF($E15="夜勤可能者",IF(M15&gt;$K$7,$K$7,IF(M15&lt;$K$8,$K$8,M15)),0)</f>
        <v>4</v>
      </c>
      <c r="P15" s="18">
        <f ca="1">SUM(Q15:R15)</f>
        <v>4</v>
      </c>
      <c r="Q15" s="22">
        <v>0</v>
      </c>
      <c r="R15" s="19">
        <f ca="1">テーブル1[[#This Row],[深夜回数]]</f>
        <v>4</v>
      </c>
    </row>
    <row r="16" spans="3:18">
      <c r="C16" t="s">
        <v>8</v>
      </c>
      <c r="D16" t="s">
        <v>26</v>
      </c>
      <c r="E16" t="s">
        <v>33</v>
      </c>
      <c r="F16">
        <f ca="1">N16</f>
        <v>5</v>
      </c>
      <c r="G16">
        <f ca="1">O16</f>
        <v>4</v>
      </c>
      <c r="H16">
        <v>4</v>
      </c>
      <c r="J16" s="22">
        <f ca="1">IF(E16="夜勤可能者",Q16-$Q$34,0)</f>
        <v>0</v>
      </c>
      <c r="K16" s="22">
        <f ca="1">IF(J16&lt;0,CEILING(J16,1),FLOOR(J16,1))</f>
        <v>0</v>
      </c>
      <c r="L16" s="18">
        <f ca="1">IF(E16="夜勤可能者",$K$5-K16,0)</f>
        <v>5</v>
      </c>
      <c r="M16" s="19">
        <f ca="1">IF(E16="夜勤可能者",$K$6-K16,0)</f>
        <v>4</v>
      </c>
      <c r="N16" s="22">
        <f ca="1">IF($E16="夜勤可能者",IF(L16&gt;$K$7,$K$7,IF(L16&lt;$K$8,$K$8,L16)),0)</f>
        <v>5</v>
      </c>
      <c r="O16" s="22">
        <f ca="1">IF($E16="夜勤可能者",IF(M16&gt;$K$7,$K$7,IF(M16&lt;$K$8,$K$8,M16)),0)</f>
        <v>4</v>
      </c>
      <c r="P16" s="18">
        <f ca="1">SUM(Q16:R16)</f>
        <v>4</v>
      </c>
      <c r="Q16" s="22">
        <v>0</v>
      </c>
      <c r="R16" s="19">
        <f ca="1">テーブル1[[#This Row],[深夜回数]]</f>
        <v>4</v>
      </c>
    </row>
    <row r="17" spans="3:18">
      <c r="C17" t="s">
        <v>9</v>
      </c>
      <c r="D17" t="s">
        <v>26</v>
      </c>
      <c r="E17" t="s">
        <v>33</v>
      </c>
      <c r="F17">
        <f ca="1">N17</f>
        <v>5</v>
      </c>
      <c r="G17">
        <f ca="1">O17</f>
        <v>4</v>
      </c>
      <c r="H17">
        <v>4</v>
      </c>
      <c r="J17" s="22">
        <f ca="1">IF(E17="夜勤可能者",Q17-$Q$34,0)</f>
        <v>0</v>
      </c>
      <c r="K17" s="22">
        <f ca="1">IF(J17&lt;0,CEILING(J17,1),FLOOR(J17,1))</f>
        <v>0</v>
      </c>
      <c r="L17" s="18">
        <f ca="1">IF(E17="夜勤可能者",$K$5-K17,0)</f>
        <v>5</v>
      </c>
      <c r="M17" s="19">
        <f ca="1">IF(E17="夜勤可能者",$K$6-K17,0)</f>
        <v>4</v>
      </c>
      <c r="N17" s="22">
        <f ca="1">IF($E17="夜勤可能者",IF(L17&gt;$K$7,$K$7,IF(L17&lt;$K$8,$K$8,L17)),0)</f>
        <v>5</v>
      </c>
      <c r="O17" s="22">
        <f ca="1">IF($E17="夜勤可能者",IF(M17&gt;$K$7,$K$7,IF(M17&lt;$K$8,$K$8,M17)),0)</f>
        <v>4</v>
      </c>
      <c r="P17" s="18">
        <f ca="1">SUM(Q17:R17)</f>
        <v>4</v>
      </c>
      <c r="Q17" s="22">
        <v>0</v>
      </c>
      <c r="R17" s="19">
        <f ca="1">テーブル1[[#This Row],[深夜回数]]</f>
        <v>4</v>
      </c>
    </row>
    <row r="18" spans="3:18">
      <c r="C18" t="s">
        <v>10</v>
      </c>
      <c r="D18" t="s">
        <v>26</v>
      </c>
      <c r="E18" t="s">
        <v>33</v>
      </c>
      <c r="F18">
        <f ca="1">N18</f>
        <v>5</v>
      </c>
      <c r="G18">
        <f ca="1">O18</f>
        <v>4</v>
      </c>
      <c r="H18">
        <v>4</v>
      </c>
      <c r="J18" s="22">
        <f ca="1">IF(E18="夜勤可能者",Q18-$Q$34,0)</f>
        <v>0</v>
      </c>
      <c r="K18" s="22">
        <f ca="1">IF(J18&lt;0,CEILING(J18,1),FLOOR(J18,1))</f>
        <v>0</v>
      </c>
      <c r="L18" s="18">
        <f ca="1">IF(E18="夜勤可能者",$K$5-K18,0)</f>
        <v>5</v>
      </c>
      <c r="M18" s="19">
        <f ca="1">IF(E18="夜勤可能者",$K$6-K18,0)</f>
        <v>4</v>
      </c>
      <c r="N18" s="22">
        <f ca="1">IF($E18="夜勤可能者",IF(L18&gt;$K$7,$K$7,IF(L18&lt;$K$8,$K$8,L18)),0)</f>
        <v>5</v>
      </c>
      <c r="O18" s="22">
        <f ca="1">IF($E18="夜勤可能者",IF(M18&gt;$K$7,$K$7,IF(M18&lt;$K$8,$K$8,M18)),0)</f>
        <v>4</v>
      </c>
      <c r="P18" s="18">
        <f ca="1">SUM(Q18:R18)</f>
        <v>4</v>
      </c>
      <c r="Q18" s="22">
        <v>0</v>
      </c>
      <c r="R18" s="19">
        <f ca="1">テーブル1[[#This Row],[深夜回数]]</f>
        <v>4</v>
      </c>
    </row>
    <row r="19" spans="3:18">
      <c r="C19" t="s">
        <v>11</v>
      </c>
      <c r="D19" t="s">
        <v>26</v>
      </c>
      <c r="F19">
        <f ca="1">N19</f>
        <v>0</v>
      </c>
      <c r="G19">
        <f ca="1">O19</f>
        <v>0</v>
      </c>
      <c r="J19" s="22">
        <f ca="1">IF(E19="夜勤可能者",Q19-$Q$34,0)</f>
        <v>0</v>
      </c>
      <c r="K19" s="22">
        <f ca="1">IF(J19&lt;0,CEILING(J19,1),FLOOR(J19,1))</f>
        <v>0</v>
      </c>
      <c r="L19" s="18">
        <f ca="1">IF(E19="夜勤可能者",$K$5-K19,0)</f>
        <v>0</v>
      </c>
      <c r="M19" s="19">
        <f ca="1">IF(E19="夜勤可能者",$K$6-K19,0)</f>
        <v>0</v>
      </c>
      <c r="N19" s="22">
        <f ca="1">IF($E19="夜勤可能者",IF(L19&gt;$K$7,$K$7,IF(L19&lt;$K$8,$K$8,L19)),0)</f>
        <v>0</v>
      </c>
      <c r="O19" s="22">
        <f ca="1">IF($E19="夜勤可能者",IF(M19&gt;$K$7,$K$7,IF(M19&lt;$K$8,$K$8,M19)),0)</f>
        <v>0</v>
      </c>
      <c r="P19" s="18">
        <f ca="1">SUM(Q19:R19)</f>
        <v>0</v>
      </c>
      <c r="Q19" s="22">
        <v>0</v>
      </c>
      <c r="R19" s="19">
        <f ca="1">テーブル1[[#This Row],[深夜回数]]</f>
        <v>0</v>
      </c>
    </row>
    <row r="20" spans="3:18">
      <c r="C20" t="s">
        <v>12</v>
      </c>
      <c r="D20" t="s">
        <v>26</v>
      </c>
      <c r="E20" t="s">
        <v>33</v>
      </c>
      <c r="F20">
        <f ca="1">N20</f>
        <v>5</v>
      </c>
      <c r="G20">
        <f ca="1">O20</f>
        <v>4</v>
      </c>
      <c r="H20">
        <v>4</v>
      </c>
      <c r="J20" s="22">
        <f ca="1">IF(E20="夜勤可能者",Q20-$Q$34,0)</f>
        <v>0</v>
      </c>
      <c r="K20" s="22">
        <f ca="1">IF(J20&lt;0,CEILING(J20,1),FLOOR(J20,1))</f>
        <v>0</v>
      </c>
      <c r="L20" s="18">
        <f ca="1">IF(E20="夜勤可能者",$K$5-K20,0)</f>
        <v>5</v>
      </c>
      <c r="M20" s="19">
        <f ca="1">IF(E20="夜勤可能者",$K$6-K20,0)</f>
        <v>4</v>
      </c>
      <c r="N20" s="22">
        <f ca="1">IF($E20="夜勤可能者",IF(L20&gt;$K$7,$K$7,IF(L20&lt;$K$8,$K$8,L20)),0)</f>
        <v>5</v>
      </c>
      <c r="O20" s="22">
        <f ca="1">IF($E20="夜勤可能者",IF(M20&gt;$K$7,$K$7,IF(M20&lt;$K$8,$K$8,M20)),0)</f>
        <v>4</v>
      </c>
      <c r="P20" s="18">
        <f ca="1">SUM(Q20:R20)</f>
        <v>4</v>
      </c>
      <c r="Q20" s="22">
        <v>0</v>
      </c>
      <c r="R20" s="19">
        <f ca="1">テーブル1[[#This Row],[深夜回数]]</f>
        <v>4</v>
      </c>
    </row>
    <row r="21" spans="3:18">
      <c r="C21" t="s">
        <v>13</v>
      </c>
      <c r="D21" t="s">
        <v>26</v>
      </c>
      <c r="E21" t="s">
        <v>33</v>
      </c>
      <c r="F21">
        <f ca="1">N21</f>
        <v>5</v>
      </c>
      <c r="G21">
        <f ca="1">O21</f>
        <v>4</v>
      </c>
      <c r="H21">
        <v>4</v>
      </c>
      <c r="J21" s="22">
        <f ca="1">IF(E21="夜勤可能者",Q21-$Q$34,0)</f>
        <v>0</v>
      </c>
      <c r="K21" s="22">
        <f ca="1">IF(J21&lt;0,CEILING(J21,1),FLOOR(J21,1))</f>
        <v>0</v>
      </c>
      <c r="L21" s="18">
        <f ca="1">IF(E21="夜勤可能者",$K$5-K21,0)</f>
        <v>5</v>
      </c>
      <c r="M21" s="19">
        <f ca="1">IF(E21="夜勤可能者",$K$6-K21,0)</f>
        <v>4</v>
      </c>
      <c r="N21" s="22">
        <f ca="1">IF($E21="夜勤可能者",IF(L21&gt;$K$7,$K$7,IF(L21&lt;$K$8,$K$8,L21)),0)</f>
        <v>5</v>
      </c>
      <c r="O21" s="22">
        <f ca="1">IF($E21="夜勤可能者",IF(M21&gt;$K$7,$K$7,IF(M21&lt;$K$8,$K$8,M21)),0)</f>
        <v>4</v>
      </c>
      <c r="P21" s="18">
        <f ca="1">SUM(Q21:R21)</f>
        <v>4</v>
      </c>
      <c r="Q21" s="22">
        <v>0</v>
      </c>
      <c r="R21" s="19">
        <f ca="1">テーブル1[[#This Row],[深夜回数]]</f>
        <v>4</v>
      </c>
    </row>
    <row r="22" spans="3:18">
      <c r="C22" t="s">
        <v>14</v>
      </c>
      <c r="D22" t="s">
        <v>26</v>
      </c>
      <c r="E22" t="s">
        <v>33</v>
      </c>
      <c r="F22">
        <f ca="1">N22</f>
        <v>5</v>
      </c>
      <c r="G22">
        <f ca="1">O22</f>
        <v>4</v>
      </c>
      <c r="H22">
        <v>4</v>
      </c>
      <c r="J22" s="22">
        <f ca="1">IF(E22="夜勤可能者",Q22-$Q$34,0)</f>
        <v>0</v>
      </c>
      <c r="K22" s="22">
        <f ca="1">IF(J22&lt;0,CEILING(J22,1),FLOOR(J22,1))</f>
        <v>0</v>
      </c>
      <c r="L22" s="18">
        <f ca="1">IF(E22="夜勤可能者",$K$5-K22,0)</f>
        <v>5</v>
      </c>
      <c r="M22" s="19">
        <f ca="1">IF(E22="夜勤可能者",$K$6-K22,0)</f>
        <v>4</v>
      </c>
      <c r="N22" s="22">
        <f ca="1">IF($E22="夜勤可能者",IF(L22&gt;$K$7,$K$7,IF(L22&lt;$K$8,$K$8,L22)),0)</f>
        <v>5</v>
      </c>
      <c r="O22" s="22">
        <f ca="1">IF($E22="夜勤可能者",IF(M22&gt;$K$7,$K$7,IF(M22&lt;$K$8,$K$8,M22)),0)</f>
        <v>4</v>
      </c>
      <c r="P22" s="18">
        <f ca="1">SUM(Q22:R22)</f>
        <v>4</v>
      </c>
      <c r="Q22" s="22">
        <v>0</v>
      </c>
      <c r="R22" s="19">
        <f ca="1">テーブル1[[#This Row],[深夜回数]]</f>
        <v>4</v>
      </c>
    </row>
    <row r="23" spans="3:18">
      <c r="C23" t="s">
        <v>15</v>
      </c>
      <c r="D23" t="s">
        <v>26</v>
      </c>
      <c r="E23" t="s">
        <v>33</v>
      </c>
      <c r="F23">
        <f ca="1">N23</f>
        <v>5</v>
      </c>
      <c r="G23">
        <f ca="1">O23</f>
        <v>4</v>
      </c>
      <c r="H23">
        <v>4</v>
      </c>
      <c r="J23" s="22">
        <f ca="1">IF(E23="夜勤可能者",Q23-$Q$34,0)</f>
        <v>0</v>
      </c>
      <c r="K23" s="22">
        <f ca="1">IF(J23&lt;0,CEILING(J23,1),FLOOR(J23,1))</f>
        <v>0</v>
      </c>
      <c r="L23" s="18">
        <f ca="1">IF(E23="夜勤可能者",$K$5-K23,0)</f>
        <v>5</v>
      </c>
      <c r="M23" s="19">
        <f ca="1">IF(E23="夜勤可能者",$K$6-K23,0)</f>
        <v>4</v>
      </c>
      <c r="N23" s="22">
        <f ca="1">IF($E23="夜勤可能者",IF(L23&gt;$K$7,$K$7,IF(L23&lt;$K$8,$K$8,L23)),0)</f>
        <v>5</v>
      </c>
      <c r="O23" s="22">
        <f ca="1">IF($E23="夜勤可能者",IF(M23&gt;$K$7,$K$7,IF(M23&lt;$K$8,$K$8,M23)),0)</f>
        <v>4</v>
      </c>
      <c r="P23" s="18">
        <f ca="1">SUM(Q23:R23)</f>
        <v>4</v>
      </c>
      <c r="Q23" s="22">
        <v>0</v>
      </c>
      <c r="R23" s="19">
        <f ca="1">テーブル1[[#This Row],[深夜回数]]</f>
        <v>4</v>
      </c>
    </row>
    <row r="24" spans="3:18">
      <c r="C24" t="s">
        <v>16</v>
      </c>
      <c r="D24" t="s">
        <v>26</v>
      </c>
      <c r="E24" t="s">
        <v>33</v>
      </c>
      <c r="F24">
        <f ca="1">N24</f>
        <v>5</v>
      </c>
      <c r="G24">
        <f ca="1">O24</f>
        <v>4</v>
      </c>
      <c r="H24">
        <v>4</v>
      </c>
      <c r="J24" s="22">
        <f ca="1">IF(E24="夜勤可能者",Q24-$Q$34,0)</f>
        <v>0</v>
      </c>
      <c r="K24" s="22">
        <f ca="1">IF(J24&lt;0,CEILING(J24,1),FLOOR(J24,1))</f>
        <v>0</v>
      </c>
      <c r="L24" s="18">
        <f ca="1">IF(E24="夜勤可能者",$K$5-K24,0)</f>
        <v>5</v>
      </c>
      <c r="M24" s="19">
        <f ca="1">IF(E24="夜勤可能者",$K$6-K24,0)</f>
        <v>4</v>
      </c>
      <c r="N24" s="22">
        <f ca="1">IF($E24="夜勤可能者",IF(L24&gt;$K$7,$K$7,IF(L24&lt;$K$8,$K$8,L24)),0)</f>
        <v>5</v>
      </c>
      <c r="O24" s="22">
        <f ca="1">IF($E24="夜勤可能者",IF(M24&gt;$K$7,$K$7,IF(M24&lt;$K$8,$K$8,M24)),0)</f>
        <v>4</v>
      </c>
      <c r="P24" s="18">
        <f ca="1">SUM(Q24:R24)</f>
        <v>4</v>
      </c>
      <c r="Q24" s="22">
        <v>0</v>
      </c>
      <c r="R24" s="19">
        <f ca="1">テーブル1[[#This Row],[深夜回数]]</f>
        <v>4</v>
      </c>
    </row>
    <row r="25" spans="3:18">
      <c r="C25" t="s">
        <v>17</v>
      </c>
      <c r="D25" t="s">
        <v>26</v>
      </c>
      <c r="E25" t="s">
        <v>33</v>
      </c>
      <c r="F25">
        <f ca="1">N25</f>
        <v>5</v>
      </c>
      <c r="G25">
        <f ca="1">O25</f>
        <v>4</v>
      </c>
      <c r="H25">
        <v>4</v>
      </c>
      <c r="J25" s="22">
        <f ca="1">IF(E25="夜勤可能者",Q25-$Q$34,0)</f>
        <v>0</v>
      </c>
      <c r="K25" s="22">
        <f ca="1">IF(J25&lt;0,CEILING(J25,1),FLOOR(J25,1))</f>
        <v>0</v>
      </c>
      <c r="L25" s="18">
        <f ca="1">IF(E25="夜勤可能者",$K$5-K25,0)</f>
        <v>5</v>
      </c>
      <c r="M25" s="19">
        <f ca="1">IF(E25="夜勤可能者",$K$6-K25,0)</f>
        <v>4</v>
      </c>
      <c r="N25" s="22">
        <f ca="1">IF($E25="夜勤可能者",IF(L25&gt;$K$7,$K$7,IF(L25&lt;$K$8,$K$8,L25)),0)</f>
        <v>5</v>
      </c>
      <c r="O25" s="22">
        <f ca="1">IF($E25="夜勤可能者",IF(M25&gt;$K$7,$K$7,IF(M25&lt;$K$8,$K$8,M25)),0)</f>
        <v>4</v>
      </c>
      <c r="P25" s="18">
        <f ca="1">SUM(Q25:R25)</f>
        <v>4</v>
      </c>
      <c r="Q25" s="22">
        <v>0</v>
      </c>
      <c r="R25" s="19">
        <f ca="1">テーブル1[[#This Row],[深夜回数]]</f>
        <v>4</v>
      </c>
    </row>
    <row r="26" spans="3:18">
      <c r="C26" t="s">
        <v>18</v>
      </c>
      <c r="D26" t="s">
        <v>26</v>
      </c>
      <c r="E26" t="s">
        <v>33</v>
      </c>
      <c r="F26">
        <f ca="1">N26</f>
        <v>5</v>
      </c>
      <c r="G26">
        <f ca="1">O26</f>
        <v>4</v>
      </c>
      <c r="H26">
        <v>4</v>
      </c>
      <c r="J26" s="22">
        <f ca="1">IF(E26="夜勤可能者",Q26-$Q$34,0)</f>
        <v>0</v>
      </c>
      <c r="K26" s="22">
        <f ca="1">IF(J26&lt;0,CEILING(J26,1),FLOOR(J26,1))</f>
        <v>0</v>
      </c>
      <c r="L26" s="18">
        <f ca="1">IF(E26="夜勤可能者",$K$5-K26,0)</f>
        <v>5</v>
      </c>
      <c r="M26" s="19">
        <f ca="1">IF(E26="夜勤可能者",$K$6-K26,0)</f>
        <v>4</v>
      </c>
      <c r="N26" s="22">
        <f ca="1">IF($E26="夜勤可能者",IF(L26&gt;$K$7,$K$7,IF(L26&lt;$K$8,$K$8,L26)),0)</f>
        <v>5</v>
      </c>
      <c r="O26" s="22">
        <f ca="1">IF($E26="夜勤可能者",IF(M26&gt;$K$7,$K$7,IF(M26&lt;$K$8,$K$8,M26)),0)</f>
        <v>4</v>
      </c>
      <c r="P26" s="18">
        <f ca="1">SUM(Q26:R26)</f>
        <v>4</v>
      </c>
      <c r="Q26" s="22">
        <v>0</v>
      </c>
      <c r="R26" s="19">
        <f ca="1">テーブル1[[#This Row],[深夜回数]]</f>
        <v>4</v>
      </c>
    </row>
    <row r="27" spans="3:18">
      <c r="C27" t="s">
        <v>19</v>
      </c>
      <c r="D27" t="s">
        <v>26</v>
      </c>
      <c r="E27" t="s">
        <v>33</v>
      </c>
      <c r="F27">
        <f ca="1">N27</f>
        <v>5</v>
      </c>
      <c r="G27">
        <f ca="1">O27</f>
        <v>4</v>
      </c>
      <c r="H27">
        <v>5</v>
      </c>
      <c r="J27" s="22">
        <f ca="1">IF(E27="夜勤可能者",Q27-$Q$34,0)</f>
        <v>0</v>
      </c>
      <c r="K27" s="22">
        <f ca="1">IF(J27&lt;0,CEILING(J27,1),FLOOR(J27,1))</f>
        <v>0</v>
      </c>
      <c r="L27" s="18">
        <f ca="1">IF(E27="夜勤可能者",$K$5-K27,0)</f>
        <v>5</v>
      </c>
      <c r="M27" s="19">
        <f ca="1">IF(E27="夜勤可能者",$K$6-K27,0)</f>
        <v>4</v>
      </c>
      <c r="N27" s="22">
        <f ca="1">IF($E27="夜勤可能者",IF(L27&gt;$K$7,$K$7,IF(L27&lt;$K$8,$K$8,L27)),0)</f>
        <v>5</v>
      </c>
      <c r="O27" s="22">
        <f ca="1">IF($E27="夜勤可能者",IF(M27&gt;$K$7,$K$7,IF(M27&lt;$K$8,$K$8,M27)),0)</f>
        <v>4</v>
      </c>
      <c r="P27" s="18">
        <f ca="1">SUM(Q27:R27)</f>
        <v>5</v>
      </c>
      <c r="Q27" s="22">
        <v>0</v>
      </c>
      <c r="R27" s="19">
        <f ca="1">テーブル1[[#This Row],[深夜回数]]</f>
        <v>5</v>
      </c>
    </row>
    <row r="28" spans="3:18">
      <c r="C28" t="s">
        <v>20</v>
      </c>
      <c r="D28" t="s">
        <v>26</v>
      </c>
      <c r="E28" t="s">
        <v>33</v>
      </c>
      <c r="F28">
        <f ca="1">N28</f>
        <v>5</v>
      </c>
      <c r="G28">
        <f ca="1">O28</f>
        <v>4</v>
      </c>
      <c r="H28">
        <v>5</v>
      </c>
      <c r="J28" s="22">
        <f ca="1">IF(E28="夜勤可能者",Q28-$Q$34,0)</f>
        <v>0</v>
      </c>
      <c r="K28" s="22">
        <f ca="1">IF(J28&lt;0,CEILING(J28,1),FLOOR(J28,1))</f>
        <v>0</v>
      </c>
      <c r="L28" s="18">
        <f ca="1">IF(E28="夜勤可能者",$K$5-K28,0)</f>
        <v>5</v>
      </c>
      <c r="M28" s="19">
        <f ca="1">IF(E28="夜勤可能者",$K$6-K28,0)</f>
        <v>4</v>
      </c>
      <c r="N28" s="22">
        <f ca="1">IF($E28="夜勤可能者",IF(L28&gt;$K$7,$K$7,IF(L28&lt;$K$8,$K$8,L28)),0)</f>
        <v>5</v>
      </c>
      <c r="O28" s="22">
        <f ca="1">IF($E28="夜勤可能者",IF(M28&gt;$K$7,$K$7,IF(M28&lt;$K$8,$K$8,M28)),0)</f>
        <v>4</v>
      </c>
      <c r="P28" s="18">
        <f ca="1">SUM(Q28:R28)</f>
        <v>4</v>
      </c>
      <c r="Q28" s="22">
        <v>0</v>
      </c>
      <c r="R28" s="19">
        <f ca="1">テーブル1[[#This Row],[深夜回数]]</f>
        <v>4</v>
      </c>
    </row>
    <row r="29" spans="3:18">
      <c r="C29" t="s">
        <v>21</v>
      </c>
      <c r="D29" t="s">
        <v>26</v>
      </c>
      <c r="E29" t="s">
        <v>33</v>
      </c>
      <c r="F29">
        <f ca="1">N29</f>
        <v>5</v>
      </c>
      <c r="G29">
        <f ca="1">O29</f>
        <v>4</v>
      </c>
      <c r="H29">
        <v>5</v>
      </c>
      <c r="J29" s="22">
        <f ca="1">IF(E29="夜勤可能者",Q29-$Q$34,0)</f>
        <v>0</v>
      </c>
      <c r="K29" s="22">
        <f ca="1">IF(J29&lt;0,CEILING(J29,1),FLOOR(J29,1))</f>
        <v>0</v>
      </c>
      <c r="L29" s="18">
        <f ca="1">IF(E29="夜勤可能者",$K$5-K29,0)</f>
        <v>5</v>
      </c>
      <c r="M29" s="19">
        <f ca="1">IF(E29="夜勤可能者",$K$6-K29,0)</f>
        <v>4</v>
      </c>
      <c r="N29" s="22">
        <f ca="1">IF($E29="夜勤可能者",IF(L29&gt;$K$7,$K$7,IF(L29&lt;$K$8,$K$8,L29)),0)</f>
        <v>5</v>
      </c>
      <c r="O29" s="22">
        <f ca="1">IF($E29="夜勤可能者",IF(M29&gt;$K$7,$K$7,IF(M29&lt;$K$8,$K$8,M29)),0)</f>
        <v>4</v>
      </c>
      <c r="P29" s="18">
        <f ca="1">SUM(Q29:R29)</f>
        <v>4</v>
      </c>
      <c r="Q29" s="22">
        <v>0</v>
      </c>
      <c r="R29" s="19">
        <f ca="1">テーブル1[[#This Row],[深夜回数]]</f>
        <v>4</v>
      </c>
    </row>
    <row r="30" spans="3:18">
      <c r="C30" t="s">
        <v>22</v>
      </c>
      <c r="D30" t="s">
        <v>26</v>
      </c>
      <c r="E30" t="s">
        <v>33</v>
      </c>
      <c r="F30">
        <f ca="1">N30</f>
        <v>5</v>
      </c>
      <c r="G30">
        <f ca="1">O30</f>
        <v>4</v>
      </c>
      <c r="H30">
        <v>5</v>
      </c>
      <c r="J30" s="22">
        <f ca="1">IF(E30="夜勤可能者",Q30-$Q$34,0)</f>
        <v>0</v>
      </c>
      <c r="K30" s="22">
        <f ca="1">IF(J30&lt;0,CEILING(J30,1),FLOOR(J30,1))</f>
        <v>0</v>
      </c>
      <c r="L30" s="18">
        <f ca="1">IF(E30="夜勤可能者",$K$5-K30,0)</f>
        <v>5</v>
      </c>
      <c r="M30" s="19">
        <f ca="1">IF(E30="夜勤可能者",$K$6-K30,0)</f>
        <v>4</v>
      </c>
      <c r="N30" s="22">
        <f ca="1">IF($E30="夜勤可能者",IF(L30&gt;$K$7,$K$7,IF(L30&lt;$K$8,$K$8,L30)),0)</f>
        <v>5</v>
      </c>
      <c r="O30" s="22">
        <f ca="1">IF($E30="夜勤可能者",IF(M30&gt;$K$7,$K$7,IF(M30&lt;$K$8,$K$8,M30)),0)</f>
        <v>4</v>
      </c>
      <c r="P30" s="18">
        <f ca="1">SUM(Q30:R30)</f>
        <v>4</v>
      </c>
      <c r="Q30" s="22">
        <v>0</v>
      </c>
      <c r="R30" s="19">
        <f ca="1">テーブル1[[#This Row],[深夜回数]]</f>
        <v>4</v>
      </c>
    </row>
    <row r="31" spans="3:18">
      <c r="C31" t="s">
        <v>23</v>
      </c>
      <c r="D31" t="s">
        <v>26</v>
      </c>
      <c r="E31" t="s">
        <v>33</v>
      </c>
      <c r="F31">
        <f ca="1">N31</f>
        <v>5</v>
      </c>
      <c r="G31">
        <f ca="1">O31</f>
        <v>4</v>
      </c>
      <c r="H31">
        <v>5</v>
      </c>
      <c r="J31" s="22">
        <f ca="1">IF(E31="夜勤可能者",Q31-$Q$34,0)</f>
        <v>0</v>
      </c>
      <c r="K31" s="22">
        <f ca="1">IF(J31&lt;0,CEILING(J31,1),FLOOR(J31,1))</f>
        <v>0</v>
      </c>
      <c r="L31" s="18">
        <f ca="1">IF(E31="夜勤可能者",$K$5-K31,0)</f>
        <v>5</v>
      </c>
      <c r="M31" s="19">
        <f ca="1">IF(E31="夜勤可能者",$K$6-K31,0)</f>
        <v>4</v>
      </c>
      <c r="N31" s="22">
        <f ca="1">IF($E31="夜勤可能者",IF(L31&gt;$K$7,$K$7,IF(L31&lt;$K$8,$K$8,L31)),0)</f>
        <v>5</v>
      </c>
      <c r="O31" s="22">
        <f ca="1">IF($E31="夜勤可能者",IF(M31&gt;$K$7,$K$7,IF(M31&lt;$K$8,$K$8,M31)),0)</f>
        <v>4</v>
      </c>
      <c r="P31" s="18">
        <f ca="1">SUM(Q31:R31)</f>
        <v>4</v>
      </c>
      <c r="Q31" s="22">
        <v>0</v>
      </c>
      <c r="R31" s="19">
        <f ca="1">テーブル1[[#This Row],[深夜回数]]</f>
        <v>4</v>
      </c>
    </row>
    <row r="32" spans="3:18">
      <c r="C32" t="s">
        <v>24</v>
      </c>
      <c r="D32" t="s">
        <v>26</v>
      </c>
      <c r="E32" t="s">
        <v>33</v>
      </c>
      <c r="F32">
        <f ca="1">N32</f>
        <v>5</v>
      </c>
      <c r="G32">
        <f ca="1">O32</f>
        <v>4</v>
      </c>
      <c r="H32">
        <v>5</v>
      </c>
      <c r="J32" s="22">
        <f ca="1">IF(E32="夜勤可能者",Q32-$Q$34,0)</f>
        <v>0</v>
      </c>
      <c r="K32" s="22">
        <f ca="1">IF(J32&lt;0,CEILING(J32,1),FLOOR(J32,1))</f>
        <v>0</v>
      </c>
      <c r="L32" s="18">
        <f ca="1">IF(E32="夜勤可能者",$K$5-K32,0)</f>
        <v>5</v>
      </c>
      <c r="M32" s="19">
        <f ca="1">IF(E32="夜勤可能者",$K$6-K32,0)</f>
        <v>4</v>
      </c>
      <c r="N32" s="22">
        <f ca="1">IF($E32="夜勤可能者",IF(L32&gt;$K$7,$K$7,IF(L32&lt;$K$8,$K$8,L32)),0)</f>
        <v>5</v>
      </c>
      <c r="O32" s="22">
        <f ca="1">IF($E32="夜勤可能者",IF(M32&gt;$K$7,$K$7,IF(M32&lt;$K$8,$K$8,M32)),0)</f>
        <v>4</v>
      </c>
      <c r="P32" s="18">
        <f ca="1">SUM(Q32:R32)</f>
        <v>4</v>
      </c>
      <c r="Q32" s="22">
        <v>0</v>
      </c>
      <c r="R32" s="19">
        <f ca="1">テーブル1[[#This Row],[深夜回数]]</f>
        <v>4</v>
      </c>
    </row>
    <row r="33" spans="3:18" ht="19.5" thickBot="1">
      <c r="C33" t="s">
        <v>25</v>
      </c>
      <c r="D33" t="s">
        <v>26</v>
      </c>
      <c r="E33" t="s">
        <v>33</v>
      </c>
      <c r="F33">
        <f ca="1">N33</f>
        <v>5</v>
      </c>
      <c r="G33">
        <f ca="1">O33</f>
        <v>4</v>
      </c>
      <c r="H33">
        <v>5</v>
      </c>
      <c r="J33" s="23">
        <f ca="1">IF(E33="夜勤可能者",Q33-$Q$34,0)</f>
        <v>0</v>
      </c>
      <c r="K33" s="23">
        <f ca="1">IF(J33&lt;0,CEILING(J33,1),FLOOR(J33,1))</f>
        <v>0</v>
      </c>
      <c r="L33" s="20">
        <f ca="1">IF(E33="夜勤可能者",$K$5-K33,0)</f>
        <v>5</v>
      </c>
      <c r="M33" s="21">
        <f ca="1">IF(E33="夜勤可能者",$K$6-K33,0)</f>
        <v>4</v>
      </c>
      <c r="N33" s="23">
        <f ca="1">IF($E33="夜勤可能者",IF(L33&gt;$K$7,$K$7,IF(L33&lt;$K$8,$K$8,L33)),0)</f>
        <v>5</v>
      </c>
      <c r="O33" s="23">
        <f ca="1">IF($E33="夜勤可能者",IF(M33&gt;$K$7,$K$7,IF(M33&lt;$K$8,$K$8,M33)),0)</f>
        <v>4</v>
      </c>
      <c r="P33" s="20">
        <f ca="1">SUM(Q33:R33)</f>
        <v>4</v>
      </c>
      <c r="Q33" s="23">
        <v>0</v>
      </c>
      <c r="R33" s="21">
        <f ca="1">テーブル1[[#This Row],[深夜回数]]</f>
        <v>4</v>
      </c>
    </row>
    <row r="34" spans="16:17">
      <c r="P34" t="s">
        <v>34</v>
      </c>
      <c r="Q34">
        <f ca="1">AVERAGEIF(E11:E33,"夜勤可能者",Q11:Q33)</f>
        <v>0</v>
      </c>
    </row>
  </sheetData>
  <pageMargins left="0.7" right="0.7" top="0.75" bottom="0.75" header="0.3" footer="0.3"/>
  <pageSetup paperSize="9" orientation="portrait"/>
  <headerFooter scaleWithDoc="1" alignWithMargins="0" differentFirst="0" differentOddEven="0"/>
  <tableParts count="2">
    <tablePart r:id="rId61"/>
    <tablePart r:id="rId62"/>
  </tableParts>
  <extLst/>
</worksheet>
</file>

<file path=docProps/app.xml><?xml version="1.0" encoding="utf-8"?>
<Properties xmlns="http://schemas.openxmlformats.org/officeDocument/2006/extended-properties">
  <Application>Microsoft Excel</Application>
  <Company/>
  <AppVersion>16.0300</AppVersion>
</Properties>
</file>

<file path=docProps/core.xml><?xml version="1.0" encoding="utf-8"?>
<cp:coreProperties xmlns:dc="http://purl.org/dc/elements/1.1/" xmlns:dcterms="http://purl.org/dc/terms/" xmlns:dcmitype="http://purl.org/dc/dcmitype/" xmlns:xsi="http://www.w3.org/2001/XMLSchema-instance" xmlns:cp="http://schemas.openxmlformats.org/package/2006/metadata/core-properties">
  <dc:creator>takayuki sugawara</dc:creator>
  <cp:lastModifiedBy>takayuki sugawara</cp:lastModifiedBy>
  <dcterms:created xsi:type="dcterms:W3CDTF">2023-02-12T06:47:51Z</dcterms:created>
  <dcterms:modified xsi:type="dcterms:W3CDTF">2023-02-14T07:25:21Z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