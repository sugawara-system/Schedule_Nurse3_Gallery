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<Relationships xmlns="http://schemas.openxmlformats.org/package/2006/relationships"><Relationship Id="rId2" Type="http://schemas.openxmlformats.org/officeDocument/2006/relationships/extended-properties" Target="docProps/app.xml" /><Relationship Id="rId3" Type="http://schemas.openxmlformats.org/package/2006/relationships/metadata/core-properties" Target="docProps/core.xml" /><Relationship Id="rId1" Type="http://schemas.openxmlformats.org/officeDocument/2006/relationships/officeDocument" Target="xl/workbook.xml" /><Relationship Id="rId4" Type="http://schemas.openxmlformats.org/officeDocument/2006/relationships/custom-properties" Target="docProps/custom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lastEdited="7" lowestEdited="7" rupBuild="26026" codeName="{AE6600E7-7A62-396C-DE95-9942FA9DD81E}"/>
  <workbookPr codeName="ThisWorkbook" defaultThemeVersion="166925"/>
  <bookViews>
    <workbookView xWindow="1470" yWindow="2220" windowWidth="24675" windowHeight="13995"/>
  </bookViews>
  <sheets>
    <sheet name="Sheet1" sheetId="1" r:id="rId1"/>
  </sheets>
  <definedNames/>
  <calcPr fullPrecision="1"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<sst xmlns="http://schemas.openxmlformats.org/spreadsheetml/2006/main" uniqueCount="49" count="72">
  <si>
    <t>スタッフ名</t>
  </si>
  <si>
    <t>全スタッフ属性</t>
  </si>
  <si>
    <t>曜日タイプ</t>
  </si>
  <si>
    <t>スタッフ名1</t>
  </si>
  <si>
    <t>スタッフ名2</t>
  </si>
  <si>
    <t>スタッフ名3</t>
  </si>
  <si>
    <t>スタッフ名4</t>
  </si>
  <si>
    <t>スタッフ名5</t>
  </si>
  <si>
    <t>スタッフ名6</t>
  </si>
  <si>
    <t>スタッフ名7</t>
  </si>
  <si>
    <t>スタッフ名8</t>
  </si>
  <si>
    <t>スタッフ名9</t>
  </si>
  <si>
    <t>スタッフ名10</t>
  </si>
  <si>
    <t>スタッフ名11</t>
  </si>
  <si>
    <t>スタッフ名12</t>
  </si>
  <si>
    <t>スタッフ名13</t>
  </si>
  <si>
    <t>スタッフ名14</t>
  </si>
  <si>
    <t>スタッフ名15</t>
  </si>
  <si>
    <t>スタッフ名16</t>
  </si>
  <si>
    <t>スタッフ名17</t>
  </si>
  <si>
    <t>スタッフ名18</t>
  </si>
  <si>
    <t>スタッフ名19</t>
  </si>
  <si>
    <t>スタッフ名20</t>
  </si>
  <si>
    <t>スタッフ名21</t>
  </si>
  <si>
    <t>スタッフ名22</t>
  </si>
  <si>
    <t>スタッフ名23</t>
  </si>
  <si>
    <t>全スタッフ</t>
  </si>
  <si>
    <t>制約開始日</t>
  </si>
  <si>
    <t>スタッフ数</t>
  </si>
  <si>
    <t>先月までの和</t>
  </si>
  <si>
    <t>今月までの和</t>
  </si>
  <si>
    <t>最大基準</t>
  </si>
  <si>
    <t>最小基準</t>
  </si>
  <si>
    <t>絶対最大</t>
  </si>
  <si>
    <t>絶対最小</t>
  </si>
  <si>
    <t>最終最大</t>
  </si>
  <si>
    <t>A＝平均値からのオフセット</t>
  </si>
  <si>
    <t>round(A)</t>
  </si>
  <si>
    <t>曜日名</t>
  </si>
  <si>
    <t>曜日数</t>
  </si>
  <si>
    <t>今月祝回数</t>
  </si>
  <si>
    <t>最大祝回数</t>
  </si>
  <si>
    <t>平均</t>
  </si>
  <si>
    <t>今月祝</t>
  </si>
  <si>
    <t>祝最大回数属性</t>
  </si>
  <si>
    <t>祝最小回数属性</t>
  </si>
  <si>
    <t>最小祝回数</t>
  </si>
  <si>
    <t>最終最小</t>
  </si>
  <si>
    <t>線形祝回数</t>
  </si>
</sst>
</file>

<file path=xl/styles.xml><?xml version="1.0" encoding="utf-8"?>
<styleSheet xmlns:mc="http://schemas.openxmlformats.org/markup-compatibility/2006" xmlns:x14ac="http://schemas.microsoft.com/office/spreadsheetml/2009/9/ac" xmlns="http://schemas.openxmlformats.org/spreadsheetml/2006/main" mc:Ignorable="x14ac">
  <numFmts count="1">
    <numFmt numFmtId="164" formatCode="yyyy/mm/dd"/>
  </numFmts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>
        <fgColor indexed="64"/>
        <bgColor indexed="65"/>
      </patternFill>
    </fill>
    <fill>
      <patternFill patternType="gray125">
        <fgColor indexed="64"/>
        <bgColor indexed="65"/>
      </patternFill>
    </fill>
  </fills>
  <borders count="17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30">
    <xf numFmtId="0" fontId="0" fillId="0" borderId="0">
      <alignment vertical="center"/>
    </xf>
  </cellStyleXfs>
  <cellXfs>
    <xf numFmtId="0" fontId="0" fillId="0" borderId="0" xfId="0" applyAlignment="1">
      <alignment vertical="center"/>
    </xf>
    <xf numFmtId="0" fontId="2" fillId="0" borderId="1" xfId="0" applyAlignment="1" applyBorder="1" applyFont="1">
      <alignment vertical="center"/>
    </xf>
    <xf numFmtId="0" fontId="2" fillId="0" borderId="2" xfId="0" applyAlignment="1" applyBorder="1" applyFont="1">
      <alignment vertical="center"/>
    </xf>
    <xf numFmtId="164" fontId="2" fillId="0" borderId="1" xfId="0" applyAlignment="1" applyBorder="1" applyFont="1" applyNumberFormat="1">
      <alignment vertical="center"/>
    </xf>
    <xf numFmtId="164" fontId="0" fillId="0" borderId="0" xfId="0" applyAlignment="1" applyNumberFormat="1">
      <alignment vertical="center"/>
    </xf>
    <xf numFmtId="0" fontId="2" fillId="0" borderId="0" xfId="0" applyAlignment="1" applyFont="1">
      <alignment vertical="center"/>
    </xf>
    <xf numFmtId="0" fontId="0" fillId="0" borderId="3" xfId="0" applyAlignment="1" applyBorder="1">
      <alignment vertical="center"/>
    </xf>
    <xf numFmtId="0" fontId="0" fillId="0" borderId="4" xfId="0" applyAlignment="1" applyBorder="1">
      <alignment vertical="center"/>
    </xf>
    <xf numFmtId="0" fontId="0" fillId="0" borderId="5" xfId="0" applyAlignment="1" applyBorder="1">
      <alignment vertical="center"/>
    </xf>
    <xf numFmtId="0" fontId="0" fillId="0" borderId="6" xfId="0" applyAlignment="1" applyBorder="1">
      <alignment vertical="center"/>
    </xf>
    <xf numFmtId="0" fontId="0" fillId="0" borderId="7" xfId="0" applyAlignment="1" applyBorder="1">
      <alignment vertical="center"/>
    </xf>
    <xf numFmtId="0" fontId="0" fillId="0" borderId="8" xfId="0" applyAlignment="1" applyBorder="1">
      <alignment vertical="center"/>
    </xf>
    <xf numFmtId="0" fontId="0" fillId="0" borderId="9" xfId="0" applyAlignment="1" applyBorder="1">
      <alignment horizontal="center" vertical="center"/>
    </xf>
    <xf numFmtId="0" fontId="0" fillId="0" borderId="3" xfId="0" applyAlignment="1" applyBorder="1">
      <alignment horizontal="center" vertical="center"/>
    </xf>
    <xf numFmtId="0" fontId="0" fillId="0" borderId="4" xfId="0" applyAlignment="1" applyBorder="1">
      <alignment horizontal="center" vertical="center"/>
    </xf>
    <xf numFmtId="0" fontId="0" fillId="0" borderId="7" xfId="0" applyAlignment="1" applyBorder="1">
      <alignment horizontal="center" vertical="center"/>
    </xf>
    <xf numFmtId="0" fontId="0" fillId="0" borderId="8" xfId="0" applyAlignment="1" applyBorder="1">
      <alignment horizontal="center" vertical="center"/>
    </xf>
    <xf numFmtId="0" fontId="0" fillId="0" borderId="5" xfId="0" applyAlignment="1" applyBorder="1">
      <alignment horizontal="center" vertical="center"/>
    </xf>
    <xf numFmtId="0" fontId="0" fillId="0" borderId="6" xfId="0" applyAlignment="1" applyBorder="1">
      <alignment horizontal="center" vertical="center"/>
    </xf>
    <xf numFmtId="0" fontId="0" fillId="0" borderId="10" xfId="0" applyAlignment="1" applyBorder="1">
      <alignment horizontal="center" vertical="center"/>
    </xf>
    <xf numFmtId="0" fontId="0" fillId="0" borderId="11" xfId="0" applyAlignment="1" applyBorder="1">
      <alignment horizontal="center" vertical="center"/>
    </xf>
    <xf numFmtId="0" fontId="0" fillId="0" borderId="12" xfId="0" applyAlignment="1" applyBorder="1">
      <alignment horizontal="center" vertical="center"/>
    </xf>
    <xf numFmtId="0" fontId="0" fillId="0" borderId="13" xfId="0" applyAlignment="1" applyBorder="1">
      <alignment horizontal="center" vertical="center"/>
    </xf>
    <xf numFmtId="164" fontId="2" fillId="0" borderId="0" xfId="0" applyAlignment="1" applyFont="1" applyNumberFormat="1">
      <alignment vertical="center"/>
    </xf>
    <xf numFmtId="0" fontId="0" fillId="0" borderId="0" xfId="0" applyAlignment="1">
      <alignment horizontal="center" vertical="center"/>
    </xf>
    <xf numFmtId="164" fontId="0" fillId="0" borderId="9" xfId="0" applyAlignment="1" applyBorder="1" applyNumberFormat="1">
      <alignment horizontal="center" vertical="center"/>
    </xf>
    <xf numFmtId="14" fontId="0" fillId="0" borderId="14" xfId="0" applyAlignment="1" applyBorder="1" applyNumberFormat="1">
      <alignment horizontal="center" vertical="center"/>
    </xf>
    <xf numFmtId="0" fontId="0" fillId="0" borderId="15" xfId="0" applyAlignment="1" applyBorder="1">
      <alignment horizontal="center" vertical="center"/>
    </xf>
    <xf numFmtId="0" fontId="0" fillId="0" borderId="16" xfId="0" applyAlignment="1" applyBorder="1">
      <alignment horizontal="center" vertical="center"/>
    </xf>
  </cellXfs>
  <cellStyles count="1">
    <cellStyle name="Normal" xfId="0" builtinId="0"/>
  </cellStyles>
  <dxfs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styles" Target="styles.xml" /><Relationship Id="rId6" Type="http://schemas.microsoft.com/office/2006/relationships/vbaProject" Target="vbaProject.bin" /><Relationship Id="rId2" Type="http://schemas.openxmlformats.org/officeDocument/2006/relationships/theme" Target="theme/theme1.xml" /><Relationship Id="rId1" Type="http://schemas.openxmlformats.org/officeDocument/2006/relationships/worksheet" Target="worksheets/sheet1.xml" /><Relationship Id="rId5" Type="http://schemas.openxmlformats.org/officeDocument/2006/relationships/customXml" Target="../customXml/item1.xml" /><Relationship Id="rId4" Type="http://schemas.openxmlformats.org/officeDocument/2006/relationships/sharedStrings" Target="sharedStrings.xml" 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619478</xdr:colOff>
          <xdr:row>1</xdr:row>
          <xdr:rowOff>114300</xdr:rowOff>
        </xdr:from>
        <xdr:to>
          <xdr:col>6</xdr:col>
          <xdr:colOff>466688</xdr:colOff>
          <xdr:row>3</xdr:row>
          <xdr:rowOff>28575</xdr:rowOff>
        </xdr:to>
        <xdr:sp xmlns:xdr="http://schemas.openxmlformats.org/drawingml/2006/spreadsheetDrawing" macro="" textlink="">
          <xdr:nvSpPr>
            <xdr:cNvPr id="1025" name="Button 1" hidden="1">
              <a:extLst xmlns:a="http://schemas.openxmlformats.org/drawingml/2006/main">
                <a:ext uri="{63B3BB69-23CF-44E3-9099-C40C66FF867C}">
                  <a14:compatExt xmlns:a14="http://schemas.microsoft.com/office/drawing/2010/main"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9525">
              <a:miter lim="800000"/>
              <a:headEnd/>
              <a:tailEnd/>
            </a:ln>
          </xdr:spPr>
          <xdr:txBody>
            <a:bodyPr xmlns:a="http://schemas.openxmlformats.org/drawingml/2006/main" vertOverflow="clip" wrap="square" lIns="27432" tIns="41148" rIns="27432" bIns="41148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/>
      </xdr:twoCellAnchor>
    </mc:Choice>
  </mc:AlternateContent>
</xdr:wsDr>
</file>

<file path=xl/tables/table1.xml><?xml version="1.0" encoding="utf-8"?>
<table xmlns="http://schemas.openxmlformats.org/spreadsheetml/2006/main" id="1" name="テーブル1" displayName="テーブル1" ref="D10:H33" totalsRowShown="0">
  <autoFilter ref="D10:H33"/>
  <tableColumns>
    <tableColumn id="1" name="スタッフ名"/>
    <tableColumn id="2" name="全スタッフ属性"/>
    <tableColumn id="6" name="祝最大回数属性">
      <calculatedColumnFormula>N11</calculatedColumnFormula>
    </tableColumn>
    <tableColumn id="5" name="祝最小回数属性">
      <calculatedColumnFormula>O11</calculatedColumnFormula>
    </tableColumn>
    <tableColumn id="3" name="今月祝回数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テーブル2" displayName="テーブル2" ref="M2:O4" totalsRowShown="0">
  <autoFilter ref="M2:O4"/>
  <tableColumns>
    <tableColumn id="1" name="曜日タイプ"/>
    <tableColumn id="2" name="制約開始日"/>
    <tableColumn id="3" name="今月祝">
      <calculatedColumnFormula>10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/xl/drawings/vmlDrawing1.vml" /><Relationship Id="rId2" Type="http://schemas.openxmlformats.org/officeDocument/2006/relationships/drawing" Target="/xl/drawings/drawing1.xml" /><Relationship Id="rId1" Type="http://schemas.openxmlformats.org/officeDocument/2006/relationships/printerSettings" Target="../printerSettings/printerSettings1.bin" /><Relationship Id="rId6" Type="http://schemas.openxmlformats.org/officeDocument/2006/relationships/table" Target="../tables/table2.xml" /><Relationship Id="rId5" Type="http://schemas.openxmlformats.org/officeDocument/2006/relationships/table" Target="../tables/table1.xml" /><Relationship Id="rId4" Type="http://schemas.openxmlformats.org/officeDocument/2006/relationships/ctrlProp" Target="../ctrlProps/ctrlProp1.xml" /><Relationship Id="rId7" Type="http://schemas.openxmlformats.org/officeDocument/2006/relationships/table" Target="/xl/tables/table1.xml" /><Relationship Id="rId8" Type="http://schemas.openxmlformats.org/officeDocument/2006/relationships/table" Target="/xl/tables/table2.xml" /></Relationships>
</file>

<file path=xl/worksheets/sheet1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:xdr="http://schemas.openxmlformats.org/drawingml/2006/spreadsheetDrawing" xmlns="http://schemas.openxmlformats.org/spreadsheetml/2006/main">
  <sheetPr codeName="Sheet1"/>
  <dimension ref="D2:R34"/>
  <sheetViews>
    <sheetView zoomScale="85" view="normal" tabSelected="1" workbookViewId="0">
      <selection pane="topLeft" activeCell="Q11" sqref="Q11"/>
    </sheetView>
  </sheetViews>
  <sheetFormatPr defaultRowHeight="18.75"/>
  <cols>
    <col min="1" max="1" width="2.50390625" customWidth="1"/>
    <col min="2" max="3" width="1.625" customWidth="1"/>
    <col min="4" max="4" width="13.00390625" customWidth="1"/>
    <col min="5" max="5" width="15.875" customWidth="1"/>
    <col min="6" max="6" width="17.75390625" customWidth="1"/>
    <col min="7" max="7" width="18.50390625" customWidth="1"/>
    <col min="8" max="8" width="12.25390625" customWidth="1"/>
    <col min="9" max="9" width="6.125" customWidth="1"/>
    <col min="10" max="10" width="25.25390625" customWidth="1"/>
    <col min="11" max="11" width="11.25390625" customWidth="1"/>
    <col min="12" max="12" width="11.625" customWidth="1"/>
    <col min="13" max="13" width="11.125" customWidth="1"/>
    <col min="14" max="14" width="11.50390625" customWidth="1"/>
    <col min="15" max="15" width="11.75390625" customWidth="1"/>
    <col min="16" max="16" width="13.50390625" customWidth="1"/>
    <col min="17" max="17" width="13.875" customWidth="1"/>
    <col min="18" max="18" width="13.25390625" customWidth="1"/>
    <col min="19" max="19" width="11.00390625" customWidth="1"/>
    <col min="20" max="20" width="15.875" customWidth="1"/>
  </cols>
  <sheetData>
    <row r="2" spans="13:15">
      <c r="M2" s="1" t="s">
        <v>2</v>
      </c>
      <c r="N2" s="3" t="s">
        <v>27</v>
      </c>
      <c r="O2" s="23" t="s">
        <v>43</v>
      </c>
    </row>
    <row r="3" spans="13:15">
      <c r="M3" t="s">
        <v>38</v>
      </c>
      <c r="N3" s="4">
        <v>44166</v>
      </c>
      <c r="O3" s="4"/>
    </row>
    <row r="4" spans="13:15" ht="19.5" thickBot="1">
      <c r="M4" t="s">
        <v>39</v>
      </c>
      <c r="N4">
        <f ca="1">1</f>
        <v>1</v>
      </c>
      <c r="O4">
        <f ca="1">0</f>
        <v>0</v>
      </c>
    </row>
    <row r="5" spans="10:15">
      <c r="J5" s="6" t="s">
        <v>31</v>
      </c>
      <c r="K5" s="7">
        <f ca="1">CEILING($O$6,1)</f>
        <v>0</v>
      </c>
      <c r="O5" s="22" t="s">
        <v>48</v>
      </c>
    </row>
    <row r="6" spans="10:15" ht="19.5" thickBot="1">
      <c r="J6" s="8" t="s">
        <v>32</v>
      </c>
      <c r="K6" s="9">
        <f ca="1">FLOOR($O$6,1)</f>
        <v>0</v>
      </c>
      <c r="M6" t="s">
        <v>28</v>
      </c>
      <c r="N6">
        <f ca="1">COUNTIF(E11:E35,"全スタッフ")</f>
        <v>23</v>
      </c>
      <c r="O6" s="20">
        <f ca="1">$O$4*(3+3+5)/$N$6</f>
        <v>0</v>
      </c>
    </row>
    <row r="7" spans="10:11">
      <c r="J7" s="10" t="s">
        <v>33</v>
      </c>
      <c r="K7" s="11">
        <f ca="1">2*$K$5</f>
        <v>0</v>
      </c>
    </row>
    <row r="8" spans="10:11" ht="19.5" thickBot="1">
      <c r="J8" s="8" t="s">
        <v>34</v>
      </c>
      <c r="K8" s="9">
        <v>0</v>
      </c>
    </row>
    <row r="9" spans="16:17" ht="19.5" thickBot="1">
      <c r="P9" s="25">
        <f ca="1">N3</f>
        <v>44166</v>
      </c>
      <c r="Q9" s="26">
        <v>44166</v>
      </c>
    </row>
    <row r="10" spans="4:18" ht="19.5" thickBot="1">
      <c r="D10" s="1" t="s">
        <v>0</v>
      </c>
      <c r="E10" s="1" t="s">
        <v>1</v>
      </c>
      <c r="F10" s="5" t="s">
        <v>44</v>
      </c>
      <c r="G10" s="5" t="s">
        <v>45</v>
      </c>
      <c r="H10" s="2" t="s">
        <v>40</v>
      </c>
      <c r="J10" s="13" t="s">
        <v>36</v>
      </c>
      <c r="K10" s="21" t="s">
        <v>37</v>
      </c>
      <c r="L10" s="12" t="s">
        <v>41</v>
      </c>
      <c r="M10" s="12" t="s">
        <v>46</v>
      </c>
      <c r="N10" s="13" t="s">
        <v>35</v>
      </c>
      <c r="O10" s="22" t="s">
        <v>47</v>
      </c>
      <c r="P10" s="12" t="s">
        <v>30</v>
      </c>
      <c r="Q10" s="14" t="s">
        <v>29</v>
      </c>
      <c r="R10" s="21" t="s">
        <v>40</v>
      </c>
    </row>
    <row r="11" spans="4:18">
      <c r="D11" t="s">
        <v>3</v>
      </c>
      <c r="E11" t="s">
        <v>26</v>
      </c>
      <c r="F11">
        <f ca="1">N11</f>
        <v>0</v>
      </c>
      <c r="G11">
        <f ca="1">O11</f>
        <v>0</v>
      </c>
      <c r="H11">
        <v>0</v>
      </c>
      <c r="J11" s="22">
        <f ca="1">Q11-$Q$34</f>
        <v>0</v>
      </c>
      <c r="K11" s="16">
        <f ca="1">IF(J11&lt;0,CEILING(J11,1),FLOOR(J11,1))</f>
        <v>0</v>
      </c>
      <c r="L11" s="13">
        <f ca="1">$K$5-K11</f>
        <v>0</v>
      </c>
      <c r="M11" s="14">
        <f ca="1">$K$6-K11</f>
        <v>0</v>
      </c>
      <c r="N11" s="13">
        <f ca="1">IF(L11&gt;$K$7,$K$7,IF(L11&lt;$K$8,$K$8,L11))</f>
        <v>0</v>
      </c>
      <c r="O11" s="14">
        <f ca="1">IF(M11&gt;$K$7,$K$7,IF(M11&lt;$K$8,$K$8,M11))</f>
        <v>0</v>
      </c>
      <c r="P11" s="27">
        <f ca="1">SUM(Q11:R11)</f>
        <v>0</v>
      </c>
      <c r="Q11" s="22">
        <v>0</v>
      </c>
      <c r="R11" s="14">
        <f ca="1">テーブル1[[#This Row],[今月祝回数]]</f>
        <v>0</v>
      </c>
    </row>
    <row r="12" spans="4:18">
      <c r="D12" t="s">
        <v>4</v>
      </c>
      <c r="E12" t="s">
        <v>26</v>
      </c>
      <c r="F12">
        <f ca="1">N12</f>
        <v>0</v>
      </c>
      <c r="G12">
        <f ca="1">O12</f>
        <v>0</v>
      </c>
      <c r="H12">
        <v>0</v>
      </c>
      <c r="J12" s="19">
        <f ca="1">Q12-$Q$34</f>
        <v>0</v>
      </c>
      <c r="K12" s="16">
        <f ca="1">IF(J12&lt;0,CEILING(J12,1),FLOOR(J12,1))</f>
        <v>0</v>
      </c>
      <c r="L12" s="15">
        <f ca="1">$K$5-K12</f>
        <v>0</v>
      </c>
      <c r="M12" s="16">
        <f ca="1">$K$6-K12</f>
        <v>0</v>
      </c>
      <c r="N12" s="15">
        <f ca="1">IF(L12&gt;$K$7,$K$7,IF(L12&lt;$K$8,$K$8,L12))</f>
        <v>0</v>
      </c>
      <c r="O12" s="16">
        <f ca="1">IF(M12&gt;$K$7,$K$7,IF(M12&lt;$K$8,$K$8,M12))</f>
        <v>0</v>
      </c>
      <c r="P12" s="24">
        <f ca="1">SUM(Q12:R12)</f>
        <v>1</v>
      </c>
      <c r="Q12" s="19">
        <v>0</v>
      </c>
      <c r="R12" s="16">
        <f ca="1">テーブル1[[#This Row],[今月祝回数]]</f>
        <v>1</v>
      </c>
    </row>
    <row r="13" spans="4:18">
      <c r="D13" t="s">
        <v>5</v>
      </c>
      <c r="E13" t="s">
        <v>26</v>
      </c>
      <c r="F13">
        <f ca="1">N13</f>
        <v>0</v>
      </c>
      <c r="G13">
        <f ca="1">O13</f>
        <v>0</v>
      </c>
      <c r="H13">
        <v>0</v>
      </c>
      <c r="J13" s="19">
        <f ca="1">Q13-$Q$34</f>
        <v>0</v>
      </c>
      <c r="K13" s="16">
        <f ca="1">IF(J13&lt;0,CEILING(J13,1),FLOOR(J13,1))</f>
        <v>0</v>
      </c>
      <c r="L13" s="15">
        <f ca="1">$K$5-K13</f>
        <v>0</v>
      </c>
      <c r="M13" s="16">
        <f ca="1">$K$6-K13</f>
        <v>0</v>
      </c>
      <c r="N13" s="15">
        <f ca="1">IF(L13&gt;$K$7,$K$7,IF(L13&lt;$K$8,$K$8,L13))</f>
        <v>0</v>
      </c>
      <c r="O13" s="16">
        <f ca="1">IF(M13&gt;$K$7,$K$7,IF(M13&lt;$K$8,$K$8,M13))</f>
        <v>0</v>
      </c>
      <c r="P13" s="24">
        <f ca="1">SUM(Q13:R13)</f>
        <v>1</v>
      </c>
      <c r="Q13" s="19">
        <v>0</v>
      </c>
      <c r="R13" s="16">
        <f ca="1">テーブル1[[#This Row],[今月祝回数]]</f>
        <v>1</v>
      </c>
    </row>
    <row r="14" spans="4:18">
      <c r="D14" t="s">
        <v>6</v>
      </c>
      <c r="E14" t="s">
        <v>26</v>
      </c>
      <c r="F14">
        <f ca="1">N14</f>
        <v>0</v>
      </c>
      <c r="G14">
        <f ca="1">O14</f>
        <v>0</v>
      </c>
      <c r="H14">
        <v>0</v>
      </c>
      <c r="J14" s="19">
        <f ca="1">Q14-$Q$34</f>
        <v>0</v>
      </c>
      <c r="K14" s="16">
        <f ca="1">IF(J14&lt;0,CEILING(J14,1),FLOOR(J14,1))</f>
        <v>0</v>
      </c>
      <c r="L14" s="15">
        <f ca="1">$K$5-K14</f>
        <v>0</v>
      </c>
      <c r="M14" s="16">
        <f ca="1">$K$6-K14</f>
        <v>0</v>
      </c>
      <c r="N14" s="15">
        <f ca="1">IF(L14&gt;$K$7,$K$7,IF(L14&lt;$K$8,$K$8,L14))</f>
        <v>0</v>
      </c>
      <c r="O14" s="16">
        <f ca="1">IF(M14&gt;$K$7,$K$7,IF(M14&lt;$K$8,$K$8,M14))</f>
        <v>0</v>
      </c>
      <c r="P14" s="24">
        <f ca="1">SUM(Q14:R14)</f>
        <v>1</v>
      </c>
      <c r="Q14" s="19">
        <v>0</v>
      </c>
      <c r="R14" s="16">
        <f ca="1">テーブル1[[#This Row],[今月祝回数]]</f>
        <v>1</v>
      </c>
    </row>
    <row r="15" spans="4:18">
      <c r="D15" t="s">
        <v>7</v>
      </c>
      <c r="E15" t="s">
        <v>26</v>
      </c>
      <c r="F15">
        <f ca="1">N15</f>
        <v>0</v>
      </c>
      <c r="G15">
        <f ca="1">O15</f>
        <v>0</v>
      </c>
      <c r="H15">
        <v>0</v>
      </c>
      <c r="J15" s="19">
        <f ca="1">Q15-$Q$34</f>
        <v>0</v>
      </c>
      <c r="K15" s="16">
        <f ca="1">IF(J15&lt;0,CEILING(J15,1),FLOOR(J15,1))</f>
        <v>0</v>
      </c>
      <c r="L15" s="15">
        <f ca="1">$K$5-K15</f>
        <v>0</v>
      </c>
      <c r="M15" s="16">
        <f ca="1">$K$6-K15</f>
        <v>0</v>
      </c>
      <c r="N15" s="15">
        <f ca="1">IF(L15&gt;$K$7,$K$7,IF(L15&lt;$K$8,$K$8,L15))</f>
        <v>0</v>
      </c>
      <c r="O15" s="16">
        <f ca="1">IF(M15&gt;$K$7,$K$7,IF(M15&lt;$K$8,$K$8,M15))</f>
        <v>0</v>
      </c>
      <c r="P15" s="24">
        <f ca="1">SUM(Q15:R15)</f>
        <v>1</v>
      </c>
      <c r="Q15" s="19">
        <v>0</v>
      </c>
      <c r="R15" s="16">
        <f ca="1">テーブル1[[#This Row],[今月祝回数]]</f>
        <v>1</v>
      </c>
    </row>
    <row r="16" spans="4:18">
      <c r="D16" t="s">
        <v>8</v>
      </c>
      <c r="E16" t="s">
        <v>26</v>
      </c>
      <c r="F16">
        <f ca="1">N16</f>
        <v>0</v>
      </c>
      <c r="G16">
        <f ca="1">O16</f>
        <v>0</v>
      </c>
      <c r="H16">
        <v>0</v>
      </c>
      <c r="J16" s="19">
        <f ca="1">Q16-$Q$34</f>
        <v>0</v>
      </c>
      <c r="K16" s="16">
        <f ca="1">IF(J16&lt;0,CEILING(J16,1),FLOOR(J16,1))</f>
        <v>0</v>
      </c>
      <c r="L16" s="15">
        <f ca="1">$K$5-K16</f>
        <v>0</v>
      </c>
      <c r="M16" s="16">
        <f ca="1">$K$6-K16</f>
        <v>0</v>
      </c>
      <c r="N16" s="15">
        <f ca="1">IF(L16&gt;$K$7,$K$7,IF(L16&lt;$K$8,$K$8,L16))</f>
        <v>0</v>
      </c>
      <c r="O16" s="16">
        <f ca="1">IF(M16&gt;$K$7,$K$7,IF(M16&lt;$K$8,$K$8,M16))</f>
        <v>0</v>
      </c>
      <c r="P16" s="24">
        <f ca="1">SUM(Q16:R16)</f>
        <v>1</v>
      </c>
      <c r="Q16" s="19">
        <v>0</v>
      </c>
      <c r="R16" s="16">
        <f ca="1">テーブル1[[#This Row],[今月祝回数]]</f>
        <v>1</v>
      </c>
    </row>
    <row r="17" spans="4:18">
      <c r="D17" t="s">
        <v>9</v>
      </c>
      <c r="E17" t="s">
        <v>26</v>
      </c>
      <c r="F17">
        <f ca="1">N17</f>
        <v>0</v>
      </c>
      <c r="G17">
        <f ca="1">O17</f>
        <v>0</v>
      </c>
      <c r="H17">
        <v>0</v>
      </c>
      <c r="J17" s="19">
        <f ca="1">Q17-$Q$34</f>
        <v>0</v>
      </c>
      <c r="K17" s="16">
        <f ca="1">IF(J17&lt;0,CEILING(J17,1),FLOOR(J17,1))</f>
        <v>0</v>
      </c>
      <c r="L17" s="15">
        <f ca="1">$K$5-K17</f>
        <v>0</v>
      </c>
      <c r="M17" s="16">
        <f ca="1">$K$6-K17</f>
        <v>0</v>
      </c>
      <c r="N17" s="15">
        <f ca="1">IF(L17&gt;$K$7,$K$7,IF(L17&lt;$K$8,$K$8,L17))</f>
        <v>0</v>
      </c>
      <c r="O17" s="16">
        <f ca="1">IF(M17&gt;$K$7,$K$7,IF(M17&lt;$K$8,$K$8,M17))</f>
        <v>0</v>
      </c>
      <c r="P17" s="24">
        <f ca="1">SUM(Q17:R17)</f>
        <v>1</v>
      </c>
      <c r="Q17" s="19">
        <v>0</v>
      </c>
      <c r="R17" s="16">
        <f ca="1">テーブル1[[#This Row],[今月祝回数]]</f>
        <v>1</v>
      </c>
    </row>
    <row r="18" spans="4:18">
      <c r="D18" t="s">
        <v>10</v>
      </c>
      <c r="E18" t="s">
        <v>26</v>
      </c>
      <c r="F18">
        <f ca="1">N18</f>
        <v>0</v>
      </c>
      <c r="G18">
        <f ca="1">O18</f>
        <v>0</v>
      </c>
      <c r="H18">
        <v>0</v>
      </c>
      <c r="J18" s="19">
        <f ca="1">Q18-$Q$34</f>
        <v>0</v>
      </c>
      <c r="K18" s="16">
        <f ca="1">IF(J18&lt;0,CEILING(J18,1),FLOOR(J18,1))</f>
        <v>0</v>
      </c>
      <c r="L18" s="15">
        <f ca="1">$K$5-K18</f>
        <v>0</v>
      </c>
      <c r="M18" s="16">
        <f ca="1">$K$6-K18</f>
        <v>0</v>
      </c>
      <c r="N18" s="15">
        <f ca="1">IF(L18&gt;$K$7,$K$7,IF(L18&lt;$K$8,$K$8,L18))</f>
        <v>0</v>
      </c>
      <c r="O18" s="16">
        <f ca="1">IF(M18&gt;$K$7,$K$7,IF(M18&lt;$K$8,$K$8,M18))</f>
        <v>0</v>
      </c>
      <c r="P18" s="24">
        <f ca="1">SUM(Q18:R18)</f>
        <v>1</v>
      </c>
      <c r="Q18" s="19">
        <v>0</v>
      </c>
      <c r="R18" s="16">
        <f ca="1">テーブル1[[#This Row],[今月祝回数]]</f>
        <v>1</v>
      </c>
    </row>
    <row r="19" spans="4:18">
      <c r="D19" t="s">
        <v>11</v>
      </c>
      <c r="E19" t="s">
        <v>26</v>
      </c>
      <c r="F19">
        <f ca="1">N19</f>
        <v>0</v>
      </c>
      <c r="G19">
        <f ca="1">O19</f>
        <v>0</v>
      </c>
      <c r="H19">
        <v>0</v>
      </c>
      <c r="J19" s="19">
        <f ca="1">Q19-$Q$34</f>
        <v>0</v>
      </c>
      <c r="K19" s="16">
        <f ca="1">IF(J19&lt;0,CEILING(J19,1),FLOOR(J19,1))</f>
        <v>0</v>
      </c>
      <c r="L19" s="15">
        <f ca="1">$K$5-K19</f>
        <v>0</v>
      </c>
      <c r="M19" s="16">
        <f ca="1">$K$6-K19</f>
        <v>0</v>
      </c>
      <c r="N19" s="15">
        <f ca="1">IF(L19&gt;$K$7,$K$7,IF(L19&lt;$K$8,$K$8,L19))</f>
        <v>0</v>
      </c>
      <c r="O19" s="16">
        <f ca="1">IF(M19&gt;$K$7,$K$7,IF(M19&lt;$K$8,$K$8,M19))</f>
        <v>0</v>
      </c>
      <c r="P19" s="24">
        <f ca="1">SUM(Q19:R19)</f>
        <v>0</v>
      </c>
      <c r="Q19" s="19">
        <v>0</v>
      </c>
      <c r="R19" s="16">
        <f ca="1">テーブル1[[#This Row],[今月祝回数]]</f>
        <v>0</v>
      </c>
    </row>
    <row r="20" spans="4:18">
      <c r="D20" t="s">
        <v>12</v>
      </c>
      <c r="E20" t="s">
        <v>26</v>
      </c>
      <c r="F20">
        <f ca="1">N20</f>
        <v>0</v>
      </c>
      <c r="G20">
        <f ca="1">O20</f>
        <v>0</v>
      </c>
      <c r="H20">
        <v>0</v>
      </c>
      <c r="J20" s="19">
        <f ca="1">Q20-$Q$34</f>
        <v>0</v>
      </c>
      <c r="K20" s="16">
        <f ca="1">IF(J20&lt;0,CEILING(J20,1),FLOOR(J20,1))</f>
        <v>0</v>
      </c>
      <c r="L20" s="15">
        <f ca="1">$K$5-K20</f>
        <v>0</v>
      </c>
      <c r="M20" s="16">
        <f ca="1">$K$6-K20</f>
        <v>0</v>
      </c>
      <c r="N20" s="15">
        <f ca="1">IF(L20&gt;$K$7,$K$7,IF(L20&lt;$K$8,$K$8,L20))</f>
        <v>0</v>
      </c>
      <c r="O20" s="16">
        <f ca="1">IF(M20&gt;$K$7,$K$7,IF(M20&lt;$K$8,$K$8,M20))</f>
        <v>0</v>
      </c>
      <c r="P20" s="24">
        <f ca="1">SUM(Q20:R20)</f>
        <v>1</v>
      </c>
      <c r="Q20" s="19">
        <v>0</v>
      </c>
      <c r="R20" s="16">
        <f ca="1">テーブル1[[#This Row],[今月祝回数]]</f>
        <v>1</v>
      </c>
    </row>
    <row r="21" spans="4:18">
      <c r="D21" t="s">
        <v>13</v>
      </c>
      <c r="E21" t="s">
        <v>26</v>
      </c>
      <c r="F21">
        <f ca="1">N21</f>
        <v>0</v>
      </c>
      <c r="G21">
        <f ca="1">O21</f>
        <v>0</v>
      </c>
      <c r="H21">
        <v>0</v>
      </c>
      <c r="J21" s="19">
        <f ca="1">Q21-$Q$34</f>
        <v>0</v>
      </c>
      <c r="K21" s="16">
        <f ca="1">IF(J21&lt;0,CEILING(J21,1),FLOOR(J21,1))</f>
        <v>0</v>
      </c>
      <c r="L21" s="15">
        <f ca="1">$K$5-K21</f>
        <v>0</v>
      </c>
      <c r="M21" s="16">
        <f ca="1">$K$6-K21</f>
        <v>0</v>
      </c>
      <c r="N21" s="15">
        <f ca="1">IF(L21&gt;$K$7,$K$7,IF(L21&lt;$K$8,$K$8,L21))</f>
        <v>0</v>
      </c>
      <c r="O21" s="16">
        <f ca="1">IF(M21&gt;$K$7,$K$7,IF(M21&lt;$K$8,$K$8,M21))</f>
        <v>0</v>
      </c>
      <c r="P21" s="24">
        <f ca="1">SUM(Q21:R21)</f>
        <v>0</v>
      </c>
      <c r="Q21" s="19">
        <v>0</v>
      </c>
      <c r="R21" s="16">
        <f ca="1">テーブル1[[#This Row],[今月祝回数]]</f>
        <v>0</v>
      </c>
    </row>
    <row r="22" spans="4:18">
      <c r="D22" t="s">
        <v>14</v>
      </c>
      <c r="E22" t="s">
        <v>26</v>
      </c>
      <c r="F22">
        <f ca="1">N22</f>
        <v>0</v>
      </c>
      <c r="G22">
        <f ca="1">O22</f>
        <v>0</v>
      </c>
      <c r="H22">
        <v>0</v>
      </c>
      <c r="J22" s="19">
        <f ca="1">Q22-$Q$34</f>
        <v>0</v>
      </c>
      <c r="K22" s="16">
        <f ca="1">IF(J22&lt;0,CEILING(J22,1),FLOOR(J22,1))</f>
        <v>0</v>
      </c>
      <c r="L22" s="15">
        <f ca="1">$K$5-K22</f>
        <v>0</v>
      </c>
      <c r="M22" s="16">
        <f ca="1">$K$6-K22</f>
        <v>0</v>
      </c>
      <c r="N22" s="15">
        <f ca="1">IF(L22&gt;$K$7,$K$7,IF(L22&lt;$K$8,$K$8,L22))</f>
        <v>0</v>
      </c>
      <c r="O22" s="16">
        <f ca="1">IF(M22&gt;$K$7,$K$7,IF(M22&lt;$K$8,$K$8,M22))</f>
        <v>0</v>
      </c>
      <c r="P22" s="24">
        <f ca="1">SUM(Q22:R22)</f>
        <v>1</v>
      </c>
      <c r="Q22" s="19">
        <v>0</v>
      </c>
      <c r="R22" s="16">
        <f ca="1">テーブル1[[#This Row],[今月祝回数]]</f>
        <v>1</v>
      </c>
    </row>
    <row r="23" spans="4:18">
      <c r="D23" t="s">
        <v>15</v>
      </c>
      <c r="E23" t="s">
        <v>26</v>
      </c>
      <c r="F23">
        <f ca="1">N23</f>
        <v>0</v>
      </c>
      <c r="G23">
        <f ca="1">O23</f>
        <v>0</v>
      </c>
      <c r="H23">
        <v>0</v>
      </c>
      <c r="J23" s="19">
        <f ca="1">Q23-$Q$34</f>
        <v>0</v>
      </c>
      <c r="K23" s="16">
        <f ca="1">IF(J23&lt;0,CEILING(J23,1),FLOOR(J23,1))</f>
        <v>0</v>
      </c>
      <c r="L23" s="15">
        <f ca="1">$K$5-K23</f>
        <v>0</v>
      </c>
      <c r="M23" s="16">
        <f ca="1">$K$6-K23</f>
        <v>0</v>
      </c>
      <c r="N23" s="15">
        <f ca="1">IF(L23&gt;$K$7,$K$7,IF(L23&lt;$K$8,$K$8,L23))</f>
        <v>0</v>
      </c>
      <c r="O23" s="16">
        <f ca="1">IF(M23&gt;$K$7,$K$7,IF(M23&lt;$K$8,$K$8,M23))</f>
        <v>0</v>
      </c>
      <c r="P23" s="24">
        <f ca="1">SUM(Q23:R23)</f>
        <v>1</v>
      </c>
      <c r="Q23" s="19">
        <v>0</v>
      </c>
      <c r="R23" s="16">
        <f ca="1">テーブル1[[#This Row],[今月祝回数]]</f>
        <v>1</v>
      </c>
    </row>
    <row r="24" spans="4:18">
      <c r="D24" t="s">
        <v>16</v>
      </c>
      <c r="E24" t="s">
        <v>26</v>
      </c>
      <c r="F24">
        <f ca="1">N24</f>
        <v>0</v>
      </c>
      <c r="G24">
        <f ca="1">O24</f>
        <v>0</v>
      </c>
      <c r="H24">
        <v>0</v>
      </c>
      <c r="J24" s="19">
        <f ca="1">Q24-$Q$34</f>
        <v>0</v>
      </c>
      <c r="K24" s="16">
        <f ca="1">IF(J24&lt;0,CEILING(J24,1),FLOOR(J24,1))</f>
        <v>0</v>
      </c>
      <c r="L24" s="15">
        <f ca="1">$K$5-K24</f>
        <v>0</v>
      </c>
      <c r="M24" s="16">
        <f ca="1">$K$6-K24</f>
        <v>0</v>
      </c>
      <c r="N24" s="15">
        <f ca="1">IF(L24&gt;$K$7,$K$7,IF(L24&lt;$K$8,$K$8,L24))</f>
        <v>0</v>
      </c>
      <c r="O24" s="16">
        <f ca="1">IF(M24&gt;$K$7,$K$7,IF(M24&lt;$K$8,$K$8,M24))</f>
        <v>0</v>
      </c>
      <c r="P24" s="24">
        <f ca="1">SUM(Q24:R24)</f>
        <v>1</v>
      </c>
      <c r="Q24" s="19">
        <v>0</v>
      </c>
      <c r="R24" s="16">
        <f ca="1">テーブル1[[#This Row],[今月祝回数]]</f>
        <v>1</v>
      </c>
    </row>
    <row r="25" spans="4:18">
      <c r="D25" t="s">
        <v>17</v>
      </c>
      <c r="E25" t="s">
        <v>26</v>
      </c>
      <c r="F25">
        <f ca="1">N25</f>
        <v>0</v>
      </c>
      <c r="G25">
        <f ca="1">O25</f>
        <v>0</v>
      </c>
      <c r="H25">
        <v>0</v>
      </c>
      <c r="J25" s="19">
        <f ca="1">Q25-$Q$34</f>
        <v>0</v>
      </c>
      <c r="K25" s="16">
        <f ca="1">IF(J25&lt;0,CEILING(J25,1),FLOOR(J25,1))</f>
        <v>0</v>
      </c>
      <c r="L25" s="15">
        <f ca="1">$K$5-K25</f>
        <v>0</v>
      </c>
      <c r="M25" s="16">
        <f ca="1">$K$6-K25</f>
        <v>0</v>
      </c>
      <c r="N25" s="15">
        <f ca="1">IF(L25&gt;$K$7,$K$7,IF(L25&lt;$K$8,$K$8,L25))</f>
        <v>0</v>
      </c>
      <c r="O25" s="16">
        <f ca="1">IF(M25&gt;$K$7,$K$7,IF(M25&lt;$K$8,$K$8,M25))</f>
        <v>0</v>
      </c>
      <c r="P25" s="24">
        <f ca="1">SUM(Q25:R25)</f>
        <v>0</v>
      </c>
      <c r="Q25" s="19">
        <v>0</v>
      </c>
      <c r="R25" s="16">
        <f ca="1">テーブル1[[#This Row],[今月祝回数]]</f>
        <v>0</v>
      </c>
    </row>
    <row r="26" spans="4:18">
      <c r="D26" t="s">
        <v>18</v>
      </c>
      <c r="E26" t="s">
        <v>26</v>
      </c>
      <c r="F26">
        <f ca="1">N26</f>
        <v>0</v>
      </c>
      <c r="G26">
        <f ca="1">O26</f>
        <v>0</v>
      </c>
      <c r="H26">
        <v>0</v>
      </c>
      <c r="J26" s="19">
        <f ca="1">Q26-$Q$34</f>
        <v>0</v>
      </c>
      <c r="K26" s="16">
        <f ca="1">IF(J26&lt;0,CEILING(J26,1),FLOOR(J26,1))</f>
        <v>0</v>
      </c>
      <c r="L26" s="15">
        <f ca="1">$K$5-K26</f>
        <v>0</v>
      </c>
      <c r="M26" s="16">
        <f ca="1">$K$6-K26</f>
        <v>0</v>
      </c>
      <c r="N26" s="15">
        <f ca="1">IF(L26&gt;$K$7,$K$7,IF(L26&lt;$K$8,$K$8,L26))</f>
        <v>0</v>
      </c>
      <c r="O26" s="16">
        <f ca="1">IF(M26&gt;$K$7,$K$7,IF(M26&lt;$K$8,$K$8,M26))</f>
        <v>0</v>
      </c>
      <c r="P26" s="24">
        <f ca="1">SUM(Q26:R26)</f>
        <v>0</v>
      </c>
      <c r="Q26" s="19">
        <v>0</v>
      </c>
      <c r="R26" s="16">
        <f ca="1">テーブル1[[#This Row],[今月祝回数]]</f>
        <v>0</v>
      </c>
    </row>
    <row r="27" spans="4:18">
      <c r="D27" t="s">
        <v>19</v>
      </c>
      <c r="E27" t="s">
        <v>26</v>
      </c>
      <c r="F27">
        <f ca="1">N27</f>
        <v>0</v>
      </c>
      <c r="G27">
        <f ca="1">O27</f>
        <v>0</v>
      </c>
      <c r="H27">
        <v>0</v>
      </c>
      <c r="J27" s="19">
        <f ca="1">Q27-$Q$34</f>
        <v>0</v>
      </c>
      <c r="K27" s="16">
        <f ca="1">IF(J27&lt;0,CEILING(J27,1),FLOOR(J27,1))</f>
        <v>0</v>
      </c>
      <c r="L27" s="15">
        <f ca="1">$K$5-K27</f>
        <v>0</v>
      </c>
      <c r="M27" s="16">
        <f ca="1">$K$6-K27</f>
        <v>0</v>
      </c>
      <c r="N27" s="15">
        <f ca="1">IF(L27&gt;$K$7,$K$7,IF(L27&lt;$K$8,$K$8,L27))</f>
        <v>0</v>
      </c>
      <c r="O27" s="16">
        <f ca="1">IF(M27&gt;$K$7,$K$7,IF(M27&lt;$K$8,$K$8,M27))</f>
        <v>0</v>
      </c>
      <c r="P27" s="24">
        <f ca="1">SUM(Q27:R27)</f>
        <v>0</v>
      </c>
      <c r="Q27" s="19">
        <v>0</v>
      </c>
      <c r="R27" s="16">
        <f ca="1">テーブル1[[#This Row],[今月祝回数]]</f>
        <v>0</v>
      </c>
    </row>
    <row r="28" spans="4:18">
      <c r="D28" t="s">
        <v>20</v>
      </c>
      <c r="E28" t="s">
        <v>26</v>
      </c>
      <c r="F28">
        <f ca="1">N28</f>
        <v>0</v>
      </c>
      <c r="G28">
        <f ca="1">O28</f>
        <v>0</v>
      </c>
      <c r="H28">
        <v>0</v>
      </c>
      <c r="J28" s="19">
        <f ca="1">Q28-$Q$34</f>
        <v>0</v>
      </c>
      <c r="K28" s="16">
        <f ca="1">IF(J28&lt;0,CEILING(J28,1),FLOOR(J28,1))</f>
        <v>0</v>
      </c>
      <c r="L28" s="15">
        <f ca="1">$K$5-K28</f>
        <v>0</v>
      </c>
      <c r="M28" s="16">
        <f ca="1">$K$6-K28</f>
        <v>0</v>
      </c>
      <c r="N28" s="15">
        <f ca="1">IF(L28&gt;$K$7,$K$7,IF(L28&lt;$K$8,$K$8,L28))</f>
        <v>0</v>
      </c>
      <c r="O28" s="16">
        <f ca="1">IF(M28&gt;$K$7,$K$7,IF(M28&lt;$K$8,$K$8,M28))</f>
        <v>0</v>
      </c>
      <c r="P28" s="24">
        <f ca="1">SUM(Q28:R28)</f>
        <v>0</v>
      </c>
      <c r="Q28" s="19">
        <v>0</v>
      </c>
      <c r="R28" s="16">
        <f ca="1">テーブル1[[#This Row],[今月祝回数]]</f>
        <v>0</v>
      </c>
    </row>
    <row r="29" spans="4:18">
      <c r="D29" t="s">
        <v>21</v>
      </c>
      <c r="E29" t="s">
        <v>26</v>
      </c>
      <c r="F29">
        <f ca="1">N29</f>
        <v>0</v>
      </c>
      <c r="G29">
        <f ca="1">O29</f>
        <v>0</v>
      </c>
      <c r="H29">
        <v>0</v>
      </c>
      <c r="J29" s="19">
        <f ca="1">Q29-$Q$34</f>
        <v>0</v>
      </c>
      <c r="K29" s="16">
        <f ca="1">IF(J29&lt;0,CEILING(J29,1),FLOOR(J29,1))</f>
        <v>0</v>
      </c>
      <c r="L29" s="15">
        <f ca="1">$K$5-K29</f>
        <v>0</v>
      </c>
      <c r="M29" s="16">
        <f ca="1">$K$6-K29</f>
        <v>0</v>
      </c>
      <c r="N29" s="15">
        <f ca="1">IF(L29&gt;$K$7,$K$7,IF(L29&lt;$K$8,$K$8,L29))</f>
        <v>0</v>
      </c>
      <c r="O29" s="16">
        <f ca="1">IF(M29&gt;$K$7,$K$7,IF(M29&lt;$K$8,$K$8,M29))</f>
        <v>0</v>
      </c>
      <c r="P29" s="24">
        <f ca="1">SUM(Q29:R29)</f>
        <v>0</v>
      </c>
      <c r="Q29" s="19">
        <v>0</v>
      </c>
      <c r="R29" s="16">
        <f ca="1">テーブル1[[#This Row],[今月祝回数]]</f>
        <v>0</v>
      </c>
    </row>
    <row r="30" spans="4:18">
      <c r="D30" t="s">
        <v>22</v>
      </c>
      <c r="E30" t="s">
        <v>26</v>
      </c>
      <c r="F30">
        <f ca="1">N30</f>
        <v>0</v>
      </c>
      <c r="G30">
        <f ca="1">O30</f>
        <v>0</v>
      </c>
      <c r="H30">
        <v>0</v>
      </c>
      <c r="J30" s="19">
        <f ca="1">Q30-$Q$34</f>
        <v>0</v>
      </c>
      <c r="K30" s="16">
        <f ca="1">IF(J30&lt;0,CEILING(J30,1),FLOOR(J30,1))</f>
        <v>0</v>
      </c>
      <c r="L30" s="15">
        <f ca="1">$K$5-K30</f>
        <v>0</v>
      </c>
      <c r="M30" s="16">
        <f ca="1">$K$6-K30</f>
        <v>0</v>
      </c>
      <c r="N30" s="15">
        <f ca="1">IF(L30&gt;$K$7,$K$7,IF(L30&lt;$K$8,$K$8,L30))</f>
        <v>0</v>
      </c>
      <c r="O30" s="16">
        <f ca="1">IF(M30&gt;$K$7,$K$7,IF(M30&lt;$K$8,$K$8,M30))</f>
        <v>0</v>
      </c>
      <c r="P30" s="24">
        <f ca="1">SUM(Q30:R30)</f>
        <v>0</v>
      </c>
      <c r="Q30" s="19">
        <v>0</v>
      </c>
      <c r="R30" s="16">
        <f ca="1">テーブル1[[#This Row],[今月祝回数]]</f>
        <v>0</v>
      </c>
    </row>
    <row r="31" spans="4:18">
      <c r="D31" t="s">
        <v>23</v>
      </c>
      <c r="E31" t="s">
        <v>26</v>
      </c>
      <c r="F31">
        <f ca="1">N31</f>
        <v>0</v>
      </c>
      <c r="G31">
        <f ca="1">O31</f>
        <v>0</v>
      </c>
      <c r="H31">
        <v>0</v>
      </c>
      <c r="J31" s="19">
        <f ca="1">Q31-$Q$34</f>
        <v>0</v>
      </c>
      <c r="K31" s="16">
        <f ca="1">IF(J31&lt;0,CEILING(J31,1),FLOOR(J31,1))</f>
        <v>0</v>
      </c>
      <c r="L31" s="15">
        <f ca="1">$K$5-K31</f>
        <v>0</v>
      </c>
      <c r="M31" s="16">
        <f ca="1">$K$6-K31</f>
        <v>0</v>
      </c>
      <c r="N31" s="15">
        <f ca="1">IF(L31&gt;$K$7,$K$7,IF(L31&lt;$K$8,$K$8,L31))</f>
        <v>0</v>
      </c>
      <c r="O31" s="16">
        <f ca="1">IF(M31&gt;$K$7,$K$7,IF(M31&lt;$K$8,$K$8,M31))</f>
        <v>0</v>
      </c>
      <c r="P31" s="24">
        <f ca="1">SUM(Q31:R31)</f>
        <v>0</v>
      </c>
      <c r="Q31" s="19">
        <v>0</v>
      </c>
      <c r="R31" s="16">
        <f ca="1">テーブル1[[#This Row],[今月祝回数]]</f>
        <v>0</v>
      </c>
    </row>
    <row r="32" spans="4:18">
      <c r="D32" t="s">
        <v>24</v>
      </c>
      <c r="E32" t="s">
        <v>26</v>
      </c>
      <c r="F32">
        <f ca="1">N32</f>
        <v>0</v>
      </c>
      <c r="G32">
        <f ca="1">O32</f>
        <v>0</v>
      </c>
      <c r="H32">
        <v>0</v>
      </c>
      <c r="J32" s="19">
        <f ca="1">Q32-$Q$34</f>
        <v>0</v>
      </c>
      <c r="K32" s="16">
        <f ca="1">IF(J32&lt;0,CEILING(J32,1),FLOOR(J32,1))</f>
        <v>0</v>
      </c>
      <c r="L32" s="15">
        <f ca="1">$K$5-K32</f>
        <v>0</v>
      </c>
      <c r="M32" s="16">
        <f ca="1">$K$6-K32</f>
        <v>0</v>
      </c>
      <c r="N32" s="15">
        <f ca="1">IF(L32&gt;$K$7,$K$7,IF(L32&lt;$K$8,$K$8,L32))</f>
        <v>0</v>
      </c>
      <c r="O32" s="16">
        <f ca="1">IF(M32&gt;$K$7,$K$7,IF(M32&lt;$K$8,$K$8,M32))</f>
        <v>0</v>
      </c>
      <c r="P32" s="24">
        <f ca="1">SUM(Q32:R32)</f>
        <v>0</v>
      </c>
      <c r="Q32" s="19">
        <v>0</v>
      </c>
      <c r="R32" s="16">
        <f ca="1">テーブル1[[#This Row],[今月祝回数]]</f>
        <v>0</v>
      </c>
    </row>
    <row r="33" spans="4:18" ht="19.5" thickBot="1">
      <c r="D33" t="s">
        <v>25</v>
      </c>
      <c r="E33" t="s">
        <v>26</v>
      </c>
      <c r="F33">
        <f ca="1">N33</f>
        <v>0</v>
      </c>
      <c r="G33">
        <f ca="1">O33</f>
        <v>0</v>
      </c>
      <c r="H33">
        <v>0</v>
      </c>
      <c r="J33" s="20">
        <f ca="1">Q33-$Q$34</f>
        <v>0</v>
      </c>
      <c r="K33" s="18">
        <f ca="1">IF(J33&lt;0,CEILING(J33,1),FLOOR(J33,1))</f>
        <v>0</v>
      </c>
      <c r="L33" s="17">
        <f ca="1">$K$5-K33</f>
        <v>0</v>
      </c>
      <c r="M33" s="18">
        <f ca="1">$K$6-K33</f>
        <v>0</v>
      </c>
      <c r="N33" s="17">
        <f ca="1">IF(L33&gt;$K$7,$K$7,IF(L33&lt;$K$8,$K$8,L33))</f>
        <v>0</v>
      </c>
      <c r="O33" s="18">
        <f ca="1">IF(M33&gt;$K$7,$K$7,IF(M33&lt;$K$8,$K$8,M33))</f>
        <v>0</v>
      </c>
      <c r="P33" s="28">
        <f ca="1">SUM(Q33:R33)</f>
        <v>0</v>
      </c>
      <c r="Q33" s="20">
        <v>0</v>
      </c>
      <c r="R33" s="18">
        <f ca="1">テーブル1[[#This Row],[今月祝回数]]</f>
        <v>0</v>
      </c>
    </row>
    <row r="34" spans="16:17">
      <c r="P34" t="s">
        <v>42</v>
      </c>
      <c r="Q34" s="24">
        <f ca="1">AVERAGE(Q11:Q33)</f>
        <v>0</v>
      </c>
    </row>
  </sheetData>
  <pageMargins left="0.7" right="0.7" top="0.75" bottom="0.75" header="0.3" footer="0.3"/>
  <pageSetup paperSize="9" orientation="portrait"/>
  <headerFooter scaleWithDoc="1" alignWithMargins="0" differentFirst="0" differentOddEven="0"/>
  <drawing r:id="rId2"/>
  <legacyDrawing r:id="rId3"/>
  <mc:AlternateContent xmlns:mc="http://schemas.openxmlformats.org/markup-compatibility/2006">
    <mc:Choice xmlns:a14="http://schemas.microsoft.com/office/drawing/2010/main" Requires="x14">
      <controls xmlns="http://schemas.openxmlformats.org/spreadsheetml/2006/main">
        <mc:AlternateContent xmlns:mc="http://schemas.openxmlformats.org/markup-compatibility/2006">
          <mc:Choice Requires="x14">
            <control xmlns:r="http://schemas.openxmlformats.org/officeDocument/2006/relationships" shapeId="1025" r:id="rId4" name="Button 1">
              <controlPr defaultSize="0" print="0" autoFill="0" autoPict="0" macro="[0]!ボタン1_Click">
                <anchor moveWithCells="1" sizeWithCells="1">
                  <from>
                    <xdr:col xmlns:xdr="http://schemas.openxmlformats.org/drawingml/2006/spreadsheetDrawing">5</xdr:col>
                    <xdr:colOff xmlns:xdr="http://schemas.openxmlformats.org/drawingml/2006/spreadsheetDrawing">619478</xdr:colOff>
                    <xdr:row xmlns:xdr="http://schemas.openxmlformats.org/drawingml/2006/spreadsheetDrawing">1</xdr:row>
                    <xdr:rowOff xmlns:xdr="http://schemas.openxmlformats.org/drawingml/2006/spreadsheetDrawing">114300</xdr:rowOff>
                  </from>
                  <to>
                    <xdr:col xmlns:xdr="http://schemas.openxmlformats.org/drawingml/2006/spreadsheetDrawing">6</xdr:col>
                    <xdr:colOff xmlns:xdr="http://schemas.openxmlformats.org/drawingml/2006/spreadsheetDrawing">466688</xdr:colOff>
                    <xdr:row xmlns:xdr="http://schemas.openxmlformats.org/drawingml/2006/spreadsheetDrawing">3</xdr:row>
                    <xdr:rowOff xmlns:xdr="http://schemas.openxmlformats.org/drawingml/2006/spreadsheetDrawing">28575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  <extLst/>
</worksheet>
</file>

<file path=customXml/_rels/item1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1.xml" /></Relationships>
</file>

<file path=customXml/item1.xml>�� 
</file>

<file path=customXml/itemProps1.xml><?xml version="1.0" encoding="utf-8"?>
<ds:datastoreItem xmlns:ds="http://schemas.openxmlformats.org/officeDocument/2006/customXml" ds:itemID="{7BFEBC95-3F65-49C5-B549-74A063F4425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>
  <Application>Microsoft Excel</Application>
  <Company/>
  <AppVersion>16.0300</AppVersion>
</Properties>
</file>

<file path=docProps/core.xml><?xml version="1.0" encoding="utf-8"?>
<cp:coreProperties xmlns:dc="http://purl.org/dc/elements/1.1/" xmlns:dcterms="http://purl.org/dc/terms/" xmlns:dcmitype="http://purl.org/dc/dcmitype/" xmlns:xsi="http://www.w3.org/2001/XMLSchema-instance" xmlns:cp="http://schemas.openxmlformats.org/package/2006/metadata/core-properties">
  <dc:creator>takayuki sugawara</dc:creator>
  <cp:lastModifiedBy>takayuki sugawara</cp:lastModifiedBy>
  <dcterms:created xsi:type="dcterms:W3CDTF">2023-02-12T06:47:51Z</dcterms:created>
  <dcterms:modified xsi:type="dcterms:W3CDTF">2023-02-23T22:12:23Z</dcterms:modified>
</cp:coreProperties>
</file>

<file path=docProps/custom.xml><?xml version="1.0" encoding="utf-8"?>
<Properties xmlns:vt="http://schemas.openxmlformats.org/officeDocument/2006/docPropsVTypes" xmlns="http://schemas.openxmlformats.org/officeDocument/2006/custom-properties"/>
</file>